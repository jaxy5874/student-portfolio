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6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7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8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9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60" windowHeight="7500" firstSheet="9" activeTab="12"/>
  </bookViews>
  <sheets>
    <sheet name="Function" sheetId="13" r:id="rId1"/>
    <sheet name="Amortization Schedule" sheetId="1" r:id="rId2"/>
    <sheet name="Student_Amortization Schedule" sheetId="7" r:id="rId3"/>
    <sheet name="Sheet1" sheetId="14" r:id="rId4"/>
    <sheet name="Balance_Comparison" sheetId="2" r:id="rId5"/>
    <sheet name="Student_Balance_Comparison" sheetId="3" r:id="rId6"/>
    <sheet name="Variable_Rates" sheetId="4" r:id="rId7"/>
    <sheet name="Student_Variable_Rates" sheetId="9" r:id="rId8"/>
    <sheet name="Flat_Rate_Rule78" sheetId="5" r:id="rId9"/>
    <sheet name="Student_Flat_Rate_Rule78" sheetId="10" r:id="rId10"/>
    <sheet name="Practice_Problems_1" sheetId="6" r:id="rId11"/>
    <sheet name="Practice_Problems_2" sheetId="11" r:id="rId12"/>
    <sheet name="Practice_Problems_3" sheetId="12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2" l="1"/>
  <c r="Q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M16" i="12"/>
  <c r="O16" i="12" s="1"/>
  <c r="P16" i="12" s="1"/>
  <c r="L74" i="12"/>
  <c r="L75" i="12"/>
  <c r="L71" i="12"/>
  <c r="L72" i="12" s="1"/>
  <c r="L73" i="12" s="1"/>
  <c r="L18" i="12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17" i="12"/>
  <c r="B19" i="12"/>
  <c r="B18" i="12"/>
  <c r="B17" i="12"/>
  <c r="B16" i="12"/>
  <c r="F2" i="12"/>
  <c r="F3" i="12"/>
  <c r="E4" i="12"/>
  <c r="D4" i="12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I26" i="10"/>
  <c r="B9" i="12"/>
  <c r="B8" i="12"/>
  <c r="G50" i="12" s="1"/>
  <c r="B7" i="12"/>
  <c r="B10" i="12" s="1"/>
  <c r="B6" i="12"/>
  <c r="I184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23" i="11"/>
  <c r="D134" i="1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B12" i="11"/>
  <c r="B11" i="11"/>
  <c r="B10" i="11"/>
  <c r="B9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D82" i="1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D57" i="1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D37" i="11"/>
  <c r="D38" i="1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D17" i="11"/>
  <c r="D18" i="11"/>
  <c r="D19" i="11"/>
  <c r="D20" i="1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B7" i="11"/>
  <c r="G3" i="11"/>
  <c r="H3" i="11" s="1"/>
  <c r="I3" i="11" s="1"/>
  <c r="E4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E3" i="11"/>
  <c r="D5" i="1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4" i="11"/>
  <c r="Q16" i="12" l="1"/>
  <c r="M17" i="12"/>
  <c r="B11" i="12"/>
  <c r="H3" i="12"/>
  <c r="H2" i="12"/>
  <c r="G17" i="12"/>
  <c r="G13" i="12"/>
  <c r="G9" i="12"/>
  <c r="G5" i="12"/>
  <c r="G23" i="12"/>
  <c r="G48" i="12"/>
  <c r="G44" i="12"/>
  <c r="G40" i="12"/>
  <c r="G36" i="12"/>
  <c r="G32" i="12"/>
  <c r="G28" i="12"/>
  <c r="G24" i="12"/>
  <c r="G60" i="12"/>
  <c r="G56" i="12"/>
  <c r="G52" i="12"/>
  <c r="G49" i="12"/>
  <c r="G41" i="12"/>
  <c r="G37" i="12"/>
  <c r="G29" i="12"/>
  <c r="G25" i="12"/>
  <c r="G61" i="12"/>
  <c r="G57" i="12"/>
  <c r="G53" i="12"/>
  <c r="G20" i="12"/>
  <c r="G16" i="12"/>
  <c r="G12" i="12"/>
  <c r="G8" i="12"/>
  <c r="G3" i="12"/>
  <c r="G4" i="12"/>
  <c r="G22" i="12"/>
  <c r="G47" i="12"/>
  <c r="G43" i="12"/>
  <c r="G39" i="12"/>
  <c r="G35" i="12"/>
  <c r="G31" i="12"/>
  <c r="G27" i="12"/>
  <c r="G59" i="12"/>
  <c r="G55" i="12"/>
  <c r="G51" i="12"/>
  <c r="G18" i="12"/>
  <c r="G14" i="12"/>
  <c r="G10" i="12"/>
  <c r="G6" i="12"/>
  <c r="G45" i="12"/>
  <c r="G33" i="12"/>
  <c r="H4" i="12"/>
  <c r="G19" i="12"/>
  <c r="G15" i="12"/>
  <c r="G11" i="12"/>
  <c r="G7" i="12"/>
  <c r="G2" i="12"/>
  <c r="E5" i="12"/>
  <c r="E6" i="12" s="1"/>
  <c r="E7" i="12" s="1"/>
  <c r="G21" i="12"/>
  <c r="G46" i="12"/>
  <c r="G42" i="12"/>
  <c r="G38" i="12"/>
  <c r="G34" i="12"/>
  <c r="G30" i="12"/>
  <c r="G26" i="12"/>
  <c r="G62" i="12"/>
  <c r="G58" i="12"/>
  <c r="G54" i="12"/>
  <c r="H5" i="12"/>
  <c r="I5" i="12" s="1"/>
  <c r="G4" i="11"/>
  <c r="H4" i="11" s="1"/>
  <c r="I4" i="11" s="1"/>
  <c r="E5" i="11" s="1"/>
  <c r="G5" i="11" s="1"/>
  <c r="H5" i="11" s="1"/>
  <c r="I5" i="11" s="1"/>
  <c r="E6" i="11" s="1"/>
  <c r="B9" i="6"/>
  <c r="E109" i="6"/>
  <c r="F109" i="6"/>
  <c r="G109" i="6"/>
  <c r="H109" i="6"/>
  <c r="I109" i="6" s="1"/>
  <c r="I38" i="6"/>
  <c r="E3" i="6"/>
  <c r="G2" i="6"/>
  <c r="H2" i="6" s="1"/>
  <c r="D4" i="6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B5" i="11"/>
  <c r="B6" i="11" s="1"/>
  <c r="B5" i="6"/>
  <c r="B6" i="6" s="1"/>
  <c r="F26" i="10"/>
  <c r="G26" i="10"/>
  <c r="H26" i="10"/>
  <c r="J26" i="10" s="1"/>
  <c r="K26" i="10" s="1"/>
  <c r="F25" i="10"/>
  <c r="G25" i="10"/>
  <c r="H25" i="10"/>
  <c r="J25" i="10" s="1"/>
  <c r="K25" i="10" s="1"/>
  <c r="I25" i="10"/>
  <c r="F24" i="10"/>
  <c r="G24" i="10"/>
  <c r="H24" i="10"/>
  <c r="J24" i="10" s="1"/>
  <c r="K24" i="10" s="1"/>
  <c r="I24" i="10"/>
  <c r="F23" i="10"/>
  <c r="G23" i="10"/>
  <c r="H23" i="10"/>
  <c r="J23" i="10" s="1"/>
  <c r="K23" i="10" s="1"/>
  <c r="I23" i="10"/>
  <c r="F12" i="10"/>
  <c r="F13" i="10" s="1"/>
  <c r="G12" i="10"/>
  <c r="H12" i="10"/>
  <c r="H13" i="10"/>
  <c r="H14" i="10"/>
  <c r="H15" i="10"/>
  <c r="H16" i="10"/>
  <c r="H17" i="10"/>
  <c r="H18" i="10"/>
  <c r="H19" i="10"/>
  <c r="H20" i="10"/>
  <c r="H21" i="10"/>
  <c r="H22" i="10"/>
  <c r="I12" i="10"/>
  <c r="J12" i="10"/>
  <c r="K12" i="10"/>
  <c r="G13" i="10" s="1"/>
  <c r="F11" i="10"/>
  <c r="F9" i="10"/>
  <c r="F10" i="10" s="1"/>
  <c r="I3" i="10"/>
  <c r="F3" i="10"/>
  <c r="H11" i="10"/>
  <c r="H10" i="10"/>
  <c r="H9" i="10"/>
  <c r="H8" i="10"/>
  <c r="H7" i="10"/>
  <c r="H6" i="10"/>
  <c r="H5" i="10"/>
  <c r="H4" i="10"/>
  <c r="F4" i="10"/>
  <c r="I4" i="10" s="1"/>
  <c r="J4" i="10" s="1"/>
  <c r="H3" i="10"/>
  <c r="J3" i="10" s="1"/>
  <c r="K2" i="10"/>
  <c r="G3" i="10" s="1"/>
  <c r="B8" i="10"/>
  <c r="B9" i="10" s="1"/>
  <c r="B7" i="10"/>
  <c r="B6" i="10"/>
  <c r="B5" i="10"/>
  <c r="J293" i="9"/>
  <c r="J181" i="9"/>
  <c r="J120" i="9"/>
  <c r="J64" i="9"/>
  <c r="I292" i="9"/>
  <c r="I293" i="9"/>
  <c r="I294" i="9"/>
  <c r="I295" i="9"/>
  <c r="I296" i="9"/>
  <c r="I297" i="9"/>
  <c r="I298" i="9"/>
  <c r="I299" i="9"/>
  <c r="I300" i="9"/>
  <c r="I301" i="9"/>
  <c r="I302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63" i="9"/>
  <c r="C14" i="9"/>
  <c r="C10" i="9"/>
  <c r="G297" i="9"/>
  <c r="G298" i="9" s="1"/>
  <c r="G299" i="9" s="1"/>
  <c r="G300" i="9" s="1"/>
  <c r="G301" i="9" s="1"/>
  <c r="G302" i="9" s="1"/>
  <c r="G289" i="9"/>
  <c r="G290" i="9"/>
  <c r="G291" i="9"/>
  <c r="G292" i="9"/>
  <c r="G293" i="9" s="1"/>
  <c r="G294" i="9" s="1"/>
  <c r="G295" i="9" s="1"/>
  <c r="G296" i="9" s="1"/>
  <c r="G276" i="9"/>
  <c r="G277" i="9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61" i="9"/>
  <c r="G262" i="9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55" i="9"/>
  <c r="G256" i="9"/>
  <c r="G257" i="9" s="1"/>
  <c r="G258" i="9" s="1"/>
  <c r="G259" i="9" s="1"/>
  <c r="G260" i="9" s="1"/>
  <c r="G246" i="9"/>
  <c r="G247" i="9"/>
  <c r="G248" i="9"/>
  <c r="G249" i="9"/>
  <c r="G250" i="9" s="1"/>
  <c r="G251" i="9" s="1"/>
  <c r="G252" i="9" s="1"/>
  <c r="G253" i="9" s="1"/>
  <c r="G254" i="9" s="1"/>
  <c r="G236" i="9"/>
  <c r="G237" i="9"/>
  <c r="G238" i="9"/>
  <c r="G239" i="9"/>
  <c r="G240" i="9" s="1"/>
  <c r="G241" i="9" s="1"/>
  <c r="G242" i="9" s="1"/>
  <c r="G243" i="9" s="1"/>
  <c r="G244" i="9" s="1"/>
  <c r="G245" i="9" s="1"/>
  <c r="G145" i="9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K2" i="9"/>
  <c r="O17" i="12" l="1"/>
  <c r="P17" i="12" s="1"/>
  <c r="M18" i="12" s="1"/>
  <c r="I2" i="12"/>
  <c r="H6" i="12"/>
  <c r="I6" i="12" s="1"/>
  <c r="I3" i="12"/>
  <c r="J3" i="12" s="1"/>
  <c r="F4" i="12" s="1"/>
  <c r="I4" i="12"/>
  <c r="H7" i="12"/>
  <c r="I7" i="12" s="1"/>
  <c r="E8" i="12"/>
  <c r="G6" i="11"/>
  <c r="H6" i="11" s="1"/>
  <c r="I6" i="11" s="1"/>
  <c r="E7" i="11" s="1"/>
  <c r="F98" i="6"/>
  <c r="F102" i="6"/>
  <c r="F106" i="6"/>
  <c r="F110" i="6"/>
  <c r="F114" i="6"/>
  <c r="F118" i="6"/>
  <c r="F122" i="6"/>
  <c r="F80" i="6"/>
  <c r="F84" i="6"/>
  <c r="F88" i="6"/>
  <c r="F92" i="6"/>
  <c r="F46" i="6"/>
  <c r="F50" i="6"/>
  <c r="F54" i="6"/>
  <c r="F58" i="6"/>
  <c r="F62" i="6"/>
  <c r="F66" i="6"/>
  <c r="F70" i="6"/>
  <c r="F74" i="6"/>
  <c r="F18" i="6"/>
  <c r="F22" i="6"/>
  <c r="F26" i="6"/>
  <c r="F30" i="6"/>
  <c r="F34" i="6"/>
  <c r="F38" i="6"/>
  <c r="F42" i="6"/>
  <c r="F3" i="6"/>
  <c r="F7" i="6"/>
  <c r="F11" i="6"/>
  <c r="F15" i="6"/>
  <c r="B7" i="6"/>
  <c r="B8" i="6" s="1"/>
  <c r="F101" i="6"/>
  <c r="F113" i="6"/>
  <c r="F79" i="6"/>
  <c r="F91" i="6"/>
  <c r="F53" i="6"/>
  <c r="F61" i="6"/>
  <c r="F69" i="6"/>
  <c r="F17" i="6"/>
  <c r="F29" i="6"/>
  <c r="F41" i="6"/>
  <c r="F95" i="6"/>
  <c r="F99" i="6"/>
  <c r="F103" i="6"/>
  <c r="F107" i="6"/>
  <c r="F111" i="6"/>
  <c r="F115" i="6"/>
  <c r="F119" i="6"/>
  <c r="F81" i="6"/>
  <c r="F85" i="6"/>
  <c r="F89" i="6"/>
  <c r="F93" i="6"/>
  <c r="F47" i="6"/>
  <c r="F51" i="6"/>
  <c r="F55" i="6"/>
  <c r="F59" i="6"/>
  <c r="F63" i="6"/>
  <c r="F67" i="6"/>
  <c r="F71" i="6"/>
  <c r="F75" i="6"/>
  <c r="F19" i="6"/>
  <c r="F23" i="6"/>
  <c r="F27" i="6"/>
  <c r="F31" i="6"/>
  <c r="F35" i="6"/>
  <c r="F39" i="6"/>
  <c r="F43" i="6"/>
  <c r="F4" i="6"/>
  <c r="F8" i="6"/>
  <c r="F12" i="6"/>
  <c r="F97" i="6"/>
  <c r="F105" i="6"/>
  <c r="F117" i="6"/>
  <c r="F83" i="6"/>
  <c r="F65" i="6"/>
  <c r="F77" i="6"/>
  <c r="F25" i="6"/>
  <c r="F37" i="6"/>
  <c r="F96" i="6"/>
  <c r="F100" i="6"/>
  <c r="F104" i="6"/>
  <c r="F108" i="6"/>
  <c r="F112" i="6"/>
  <c r="F116" i="6"/>
  <c r="F120" i="6"/>
  <c r="F78" i="6"/>
  <c r="F82" i="6"/>
  <c r="F86" i="6"/>
  <c r="F90" i="6"/>
  <c r="F94" i="6"/>
  <c r="F48" i="6"/>
  <c r="F52" i="6"/>
  <c r="F56" i="6"/>
  <c r="F60" i="6"/>
  <c r="F64" i="6"/>
  <c r="F68" i="6"/>
  <c r="F72" i="6"/>
  <c r="F76" i="6"/>
  <c r="F16" i="6"/>
  <c r="F20" i="6"/>
  <c r="F24" i="6"/>
  <c r="F28" i="6"/>
  <c r="F32" i="6"/>
  <c r="F36" i="6"/>
  <c r="F40" i="6"/>
  <c r="F44" i="6"/>
  <c r="F5" i="6"/>
  <c r="F9" i="6"/>
  <c r="F13" i="6"/>
  <c r="F121" i="6"/>
  <c r="F87" i="6"/>
  <c r="F49" i="6"/>
  <c r="F57" i="6"/>
  <c r="F73" i="6"/>
  <c r="F21" i="6"/>
  <c r="F33" i="6"/>
  <c r="F45" i="6"/>
  <c r="F10" i="6"/>
  <c r="F6" i="6"/>
  <c r="F14" i="6"/>
  <c r="G3" i="6"/>
  <c r="F14" i="10"/>
  <c r="I13" i="10"/>
  <c r="K13" i="10"/>
  <c r="G14" i="10" s="1"/>
  <c r="J13" i="10"/>
  <c r="K3" i="10"/>
  <c r="G4" i="10" s="1"/>
  <c r="K4" i="10" s="1"/>
  <c r="G5" i="10" s="1"/>
  <c r="F5" i="10"/>
  <c r="E7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H3" i="9"/>
  <c r="G85" i="9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40" i="9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24" i="9"/>
  <c r="G25" i="9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" i="9"/>
  <c r="G5" i="9"/>
  <c r="G6" i="9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3" i="9"/>
  <c r="C13" i="9"/>
  <c r="C11" i="9"/>
  <c r="C12" i="9" s="1"/>
  <c r="C5" i="9"/>
  <c r="C4" i="9"/>
  <c r="C3" i="9"/>
  <c r="C5" i="4"/>
  <c r="K4" i="3"/>
  <c r="K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G3" i="3"/>
  <c r="B20" i="2"/>
  <c r="B21" i="3"/>
  <c r="B7" i="3"/>
  <c r="B4" i="3"/>
  <c r="F2" i="14"/>
  <c r="B3" i="14" s="1"/>
  <c r="D3" i="14" s="1"/>
  <c r="B2" i="14"/>
  <c r="K5" i="14"/>
  <c r="C3" i="14" s="1"/>
  <c r="E19" i="7"/>
  <c r="C14" i="7"/>
  <c r="F15" i="7"/>
  <c r="E14" i="7"/>
  <c r="F14" i="7" s="1"/>
  <c r="D14" i="7"/>
  <c r="E13" i="7"/>
  <c r="D13" i="7"/>
  <c r="C15" i="7"/>
  <c r="C16" i="7"/>
  <c r="C17" i="7"/>
  <c r="C18" i="7"/>
  <c r="B14" i="7"/>
  <c r="F13" i="7"/>
  <c r="B9" i="7"/>
  <c r="C9" i="1"/>
  <c r="O18" i="12" l="1"/>
  <c r="P18" i="12" s="1"/>
  <c r="J4" i="12"/>
  <c r="F5" i="12" s="1"/>
  <c r="J5" i="12" s="1"/>
  <c r="F6" i="12" s="1"/>
  <c r="J6" i="12" s="1"/>
  <c r="F7" i="12" s="1"/>
  <c r="J7" i="12" s="1"/>
  <c r="F8" i="12" s="1"/>
  <c r="E9" i="12"/>
  <c r="H8" i="12"/>
  <c r="I8" i="12" s="1"/>
  <c r="G7" i="11"/>
  <c r="H7" i="11" s="1"/>
  <c r="I7" i="11" s="1"/>
  <c r="E8" i="11" s="1"/>
  <c r="H3" i="6"/>
  <c r="I3" i="6" s="1"/>
  <c r="I14" i="10"/>
  <c r="J14" i="10" s="1"/>
  <c r="F15" i="10"/>
  <c r="K14" i="10"/>
  <c r="G15" i="10" s="1"/>
  <c r="I5" i="10"/>
  <c r="J5" i="10" s="1"/>
  <c r="K5" i="10" s="1"/>
  <c r="G6" i="10" s="1"/>
  <c r="F6" i="10"/>
  <c r="J3" i="9"/>
  <c r="K3" i="9" s="1"/>
  <c r="L3" i="9" s="1"/>
  <c r="H4" i="9" s="1"/>
  <c r="C6" i="9"/>
  <c r="C7" i="9" s="1"/>
  <c r="I3" i="3"/>
  <c r="J3" i="3" s="1"/>
  <c r="C6" i="14"/>
  <c r="C5" i="14"/>
  <c r="C4" i="14"/>
  <c r="C8" i="14" s="1"/>
  <c r="C7" i="14"/>
  <c r="E3" i="14"/>
  <c r="F3" i="14" s="1"/>
  <c r="F5" i="5"/>
  <c r="O26" i="4"/>
  <c r="P25" i="4"/>
  <c r="O25" i="4"/>
  <c r="O24" i="4"/>
  <c r="B11" i="2"/>
  <c r="B12" i="2"/>
  <c r="J4" i="2"/>
  <c r="F5" i="2" s="1"/>
  <c r="G4" i="5"/>
  <c r="H4" i="5"/>
  <c r="I4" i="5"/>
  <c r="J4" i="5"/>
  <c r="K4" i="5" s="1"/>
  <c r="G5" i="5" s="1"/>
  <c r="K5" i="5" s="1"/>
  <c r="G6" i="5" s="1"/>
  <c r="H5" i="5"/>
  <c r="I5" i="5"/>
  <c r="J5" i="5"/>
  <c r="H6" i="5"/>
  <c r="J6" i="5" s="1"/>
  <c r="I6" i="5"/>
  <c r="H7" i="5"/>
  <c r="I7" i="5"/>
  <c r="J7" i="5"/>
  <c r="H8" i="5"/>
  <c r="I8" i="5"/>
  <c r="J8" i="5"/>
  <c r="H9" i="5"/>
  <c r="J9" i="5" s="1"/>
  <c r="I9" i="5"/>
  <c r="H10" i="5"/>
  <c r="I10" i="5"/>
  <c r="J10" i="5"/>
  <c r="H11" i="5"/>
  <c r="I11" i="5"/>
  <c r="J11" i="5"/>
  <c r="H12" i="5"/>
  <c r="I12" i="5"/>
  <c r="J12" i="5"/>
  <c r="H13" i="5"/>
  <c r="J13" i="5" s="1"/>
  <c r="I13" i="5"/>
  <c r="H14" i="5"/>
  <c r="J14" i="5" s="1"/>
  <c r="I14" i="5"/>
  <c r="H15" i="5"/>
  <c r="I15" i="5"/>
  <c r="J15" i="5"/>
  <c r="H16" i="5"/>
  <c r="I16" i="5"/>
  <c r="J16" i="5"/>
  <c r="H17" i="5"/>
  <c r="I17" i="5"/>
  <c r="J17" i="5"/>
  <c r="H18" i="5"/>
  <c r="J18" i="5" s="1"/>
  <c r="I18" i="5"/>
  <c r="H19" i="5"/>
  <c r="I19" i="5"/>
  <c r="J19" i="5"/>
  <c r="H20" i="5"/>
  <c r="I20" i="5"/>
  <c r="J20" i="5"/>
  <c r="H21" i="5"/>
  <c r="J21" i="5" s="1"/>
  <c r="I21" i="5"/>
  <c r="H22" i="5"/>
  <c r="I22" i="5"/>
  <c r="J22" i="5"/>
  <c r="H23" i="5"/>
  <c r="I23" i="5"/>
  <c r="J23" i="5"/>
  <c r="H24" i="5"/>
  <c r="I24" i="5"/>
  <c r="J24" i="5"/>
  <c r="H25" i="5"/>
  <c r="J25" i="5" s="1"/>
  <c r="I25" i="5"/>
  <c r="H26" i="5"/>
  <c r="J26" i="5" s="1"/>
  <c r="I26" i="5"/>
  <c r="F6" i="5"/>
  <c r="F7" i="5" s="1"/>
  <c r="F4" i="5"/>
  <c r="F3" i="5"/>
  <c r="I3" i="5" s="1"/>
  <c r="K2" i="5"/>
  <c r="G3" i="5" s="1"/>
  <c r="B6" i="5"/>
  <c r="B5" i="5"/>
  <c r="B8" i="5" s="1"/>
  <c r="I64" i="4"/>
  <c r="K63" i="4"/>
  <c r="J63" i="4"/>
  <c r="I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63" i="4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4" i="4"/>
  <c r="G4" i="4"/>
  <c r="I4" i="4" s="1"/>
  <c r="J4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C7" i="4"/>
  <c r="K2" i="4"/>
  <c r="J3" i="2"/>
  <c r="I3" i="2"/>
  <c r="H3" i="2"/>
  <c r="G3" i="2"/>
  <c r="H3" i="4"/>
  <c r="G3" i="4"/>
  <c r="C11" i="4"/>
  <c r="C14" i="4"/>
  <c r="C12" i="4"/>
  <c r="C13" i="4" s="1"/>
  <c r="C3" i="4"/>
  <c r="C4" i="4" s="1"/>
  <c r="F4" i="2"/>
  <c r="G4" i="2"/>
  <c r="H4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F3" i="2"/>
  <c r="J2" i="2"/>
  <c r="E14" i="1"/>
  <c r="D14" i="1"/>
  <c r="B7" i="2"/>
  <c r="B4" i="2"/>
  <c r="F8" i="1"/>
  <c r="B9" i="1" s="1"/>
  <c r="D9" i="1" s="1"/>
  <c r="B5" i="1"/>
  <c r="C10" i="1" s="1"/>
  <c r="Q18" i="12" l="1"/>
  <c r="M19" i="12" s="1"/>
  <c r="J8" i="12"/>
  <c r="F9" i="12" s="1"/>
  <c r="E10" i="12"/>
  <c r="H9" i="12"/>
  <c r="I9" i="12" s="1"/>
  <c r="J9" i="12" s="1"/>
  <c r="F10" i="12" s="1"/>
  <c r="G8" i="11"/>
  <c r="H8" i="11" s="1"/>
  <c r="I8" i="11" s="1"/>
  <c r="E9" i="11" s="1"/>
  <c r="E4" i="6"/>
  <c r="F16" i="10"/>
  <c r="I15" i="10"/>
  <c r="J15" i="10" s="1"/>
  <c r="K15" i="10" s="1"/>
  <c r="G16" i="10" s="1"/>
  <c r="I6" i="10"/>
  <c r="J6" i="10" s="1"/>
  <c r="K6" i="10" s="1"/>
  <c r="G7" i="10" s="1"/>
  <c r="F7" i="10"/>
  <c r="J4" i="9"/>
  <c r="K4" i="9" s="1"/>
  <c r="L4" i="9" s="1"/>
  <c r="H5" i="9" s="1"/>
  <c r="K3" i="3"/>
  <c r="G4" i="3" s="1"/>
  <c r="I4" i="3" s="1"/>
  <c r="J4" i="3" s="1"/>
  <c r="G5" i="3" s="1"/>
  <c r="B4" i="14"/>
  <c r="B15" i="7"/>
  <c r="D15" i="7" s="1"/>
  <c r="E15" i="7" s="1"/>
  <c r="H5" i="2"/>
  <c r="I5" i="2" s="1"/>
  <c r="J5" i="2"/>
  <c r="F6" i="2" s="1"/>
  <c r="H6" i="2" s="1"/>
  <c r="I6" i="2" s="1"/>
  <c r="K6" i="5"/>
  <c r="G7" i="5" s="1"/>
  <c r="K7" i="5" s="1"/>
  <c r="G8" i="5" s="1"/>
  <c r="K8" i="5" s="1"/>
  <c r="G9" i="5" s="1"/>
  <c r="K9" i="5" s="1"/>
  <c r="G10" i="5" s="1"/>
  <c r="K10" i="5" s="1"/>
  <c r="G11" i="5" s="1"/>
  <c r="K11" i="5" s="1"/>
  <c r="G12" i="5" s="1"/>
  <c r="K12" i="5" s="1"/>
  <c r="G13" i="5" s="1"/>
  <c r="K13" i="5" s="1"/>
  <c r="G14" i="5" s="1"/>
  <c r="K14" i="5" s="1"/>
  <c r="G15" i="5" s="1"/>
  <c r="K15" i="5" s="1"/>
  <c r="G16" i="5" s="1"/>
  <c r="K16" i="5" s="1"/>
  <c r="G17" i="5" s="1"/>
  <c r="K17" i="5" s="1"/>
  <c r="G18" i="5" s="1"/>
  <c r="K18" i="5" s="1"/>
  <c r="G19" i="5" s="1"/>
  <c r="K19" i="5" s="1"/>
  <c r="G20" i="5" s="1"/>
  <c r="K20" i="5" s="1"/>
  <c r="G21" i="5" s="1"/>
  <c r="K21" i="5" s="1"/>
  <c r="G22" i="5" s="1"/>
  <c r="K22" i="5" s="1"/>
  <c r="G23" i="5" s="1"/>
  <c r="K23" i="5" s="1"/>
  <c r="G24" i="5" s="1"/>
  <c r="K24" i="5" s="1"/>
  <c r="G25" i="5" s="1"/>
  <c r="K25" i="5" s="1"/>
  <c r="G26" i="5" s="1"/>
  <c r="K26" i="5" s="1"/>
  <c r="F8" i="5"/>
  <c r="F9" i="5" s="1"/>
  <c r="B9" i="5"/>
  <c r="B7" i="5"/>
  <c r="K4" i="4"/>
  <c r="G5" i="4" s="1"/>
  <c r="C15" i="4"/>
  <c r="I3" i="4"/>
  <c r="J3" i="4" s="1"/>
  <c r="K3" i="4" s="1"/>
  <c r="C6" i="4"/>
  <c r="C13" i="1"/>
  <c r="C12" i="1"/>
  <c r="C11" i="1"/>
  <c r="E9" i="1"/>
  <c r="F9" i="1" s="1"/>
  <c r="B10" i="1" s="1"/>
  <c r="D10" i="1" s="1"/>
  <c r="E10" i="1" s="1"/>
  <c r="F10" i="1" s="1"/>
  <c r="B11" i="1" s="1"/>
  <c r="O19" i="12" l="1"/>
  <c r="P19" i="12" s="1"/>
  <c r="E11" i="12"/>
  <c r="H10" i="12"/>
  <c r="I10" i="12" s="1"/>
  <c r="J10" i="12" s="1"/>
  <c r="F11" i="12" s="1"/>
  <c r="G9" i="11"/>
  <c r="H9" i="11" s="1"/>
  <c r="I9" i="11" s="1"/>
  <c r="E10" i="11" s="1"/>
  <c r="G4" i="6"/>
  <c r="F17" i="10"/>
  <c r="I16" i="10"/>
  <c r="J16" i="10" s="1"/>
  <c r="K16" i="10" s="1"/>
  <c r="G17" i="10" s="1"/>
  <c r="F8" i="10"/>
  <c r="I7" i="10"/>
  <c r="J7" i="10" s="1"/>
  <c r="K7" i="10" s="1"/>
  <c r="G8" i="10" s="1"/>
  <c r="J5" i="9"/>
  <c r="K5" i="9" s="1"/>
  <c r="L5" i="9" s="1"/>
  <c r="H6" i="9" s="1"/>
  <c r="I5" i="3"/>
  <c r="J5" i="3" s="1"/>
  <c r="D4" i="14"/>
  <c r="J6" i="2"/>
  <c r="F7" i="2" s="1"/>
  <c r="F10" i="5"/>
  <c r="H3" i="5"/>
  <c r="I5" i="4"/>
  <c r="J5" i="4" s="1"/>
  <c r="K5" i="4" s="1"/>
  <c r="G6" i="4" s="1"/>
  <c r="H7" i="2"/>
  <c r="I7" i="2" s="1"/>
  <c r="J7" i="2"/>
  <c r="F8" i="2" s="1"/>
  <c r="D11" i="1"/>
  <c r="E11" i="1" s="1"/>
  <c r="F11" i="1" s="1"/>
  <c r="B12" i="1" s="1"/>
  <c r="Q19" i="12" l="1"/>
  <c r="M20" i="12" s="1"/>
  <c r="H11" i="12"/>
  <c r="I11" i="12" s="1"/>
  <c r="J11" i="12" s="1"/>
  <c r="F12" i="12" s="1"/>
  <c r="E12" i="12"/>
  <c r="G10" i="11"/>
  <c r="H10" i="11" s="1"/>
  <c r="I10" i="11" s="1"/>
  <c r="E11" i="11" s="1"/>
  <c r="H4" i="6"/>
  <c r="I4" i="6" s="1"/>
  <c r="E5" i="6" s="1"/>
  <c r="F18" i="10"/>
  <c r="I17" i="10"/>
  <c r="J17" i="10" s="1"/>
  <c r="K17" i="10" s="1"/>
  <c r="G18" i="10" s="1"/>
  <c r="I8" i="10"/>
  <c r="J8" i="10" s="1"/>
  <c r="K8" i="10" s="1"/>
  <c r="G9" i="10" s="1"/>
  <c r="J6" i="9"/>
  <c r="K6" i="9" s="1"/>
  <c r="L6" i="9" s="1"/>
  <c r="H7" i="9" s="1"/>
  <c r="K5" i="3"/>
  <c r="G6" i="3" s="1"/>
  <c r="E4" i="14"/>
  <c r="B16" i="7"/>
  <c r="F11" i="5"/>
  <c r="J3" i="5"/>
  <c r="K3" i="5" s="1"/>
  <c r="I6" i="4"/>
  <c r="J6" i="4" s="1"/>
  <c r="K6" i="4" s="1"/>
  <c r="G7" i="4" s="1"/>
  <c r="H8" i="2"/>
  <c r="I8" i="2" s="1"/>
  <c r="J8" i="2" s="1"/>
  <c r="F9" i="2" s="1"/>
  <c r="D12" i="1"/>
  <c r="E12" i="1" s="1"/>
  <c r="F12" i="1" s="1"/>
  <c r="B13" i="1" s="1"/>
  <c r="O20" i="12" l="1"/>
  <c r="P20" i="12" s="1"/>
  <c r="E13" i="12"/>
  <c r="H12" i="12"/>
  <c r="I12" i="12" s="1"/>
  <c r="J12" i="12" s="1"/>
  <c r="F13" i="12" s="1"/>
  <c r="G11" i="11"/>
  <c r="H11" i="11" s="1"/>
  <c r="I11" i="11" s="1"/>
  <c r="E12" i="11" s="1"/>
  <c r="G5" i="6"/>
  <c r="H5" i="6" s="1"/>
  <c r="K18" i="10"/>
  <c r="G19" i="10" s="1"/>
  <c r="F19" i="10"/>
  <c r="I18" i="10"/>
  <c r="J18" i="10" s="1"/>
  <c r="I9" i="10"/>
  <c r="J9" i="10" s="1"/>
  <c r="K9" i="10" s="1"/>
  <c r="G10" i="10" s="1"/>
  <c r="J7" i="9"/>
  <c r="K7" i="9" s="1"/>
  <c r="L7" i="9" s="1"/>
  <c r="H8" i="9" s="1"/>
  <c r="I6" i="3"/>
  <c r="J6" i="3" s="1"/>
  <c r="F4" i="14"/>
  <c r="B5" i="14" s="1"/>
  <c r="D16" i="7"/>
  <c r="F12" i="5"/>
  <c r="I7" i="4"/>
  <c r="J7" i="4" s="1"/>
  <c r="K7" i="4" s="1"/>
  <c r="G8" i="4" s="1"/>
  <c r="H9" i="2"/>
  <c r="I9" i="2" s="1"/>
  <c r="J9" i="2"/>
  <c r="F10" i="2" s="1"/>
  <c r="D13" i="1"/>
  <c r="E13" i="1" s="1"/>
  <c r="F13" i="1"/>
  <c r="Q20" i="12" l="1"/>
  <c r="M21" i="12" s="1"/>
  <c r="H13" i="12"/>
  <c r="I13" i="12" s="1"/>
  <c r="J13" i="12" s="1"/>
  <c r="F14" i="12" s="1"/>
  <c r="E14" i="12"/>
  <c r="G12" i="11"/>
  <c r="H12" i="11" s="1"/>
  <c r="I12" i="11"/>
  <c r="E13" i="11" s="1"/>
  <c r="I5" i="6"/>
  <c r="F20" i="10"/>
  <c r="I19" i="10"/>
  <c r="J19" i="10" s="1"/>
  <c r="K19" i="10" s="1"/>
  <c r="G20" i="10" s="1"/>
  <c r="I10" i="10"/>
  <c r="J10" i="10" s="1"/>
  <c r="K10" i="10" s="1"/>
  <c r="G11" i="10" s="1"/>
  <c r="I11" i="10"/>
  <c r="J11" i="10" s="1"/>
  <c r="J8" i="9"/>
  <c r="K8" i="9" s="1"/>
  <c r="L8" i="9" s="1"/>
  <c r="H9" i="9" s="1"/>
  <c r="K6" i="3"/>
  <c r="G7" i="3" s="1"/>
  <c r="D5" i="14"/>
  <c r="E16" i="7"/>
  <c r="F13" i="5"/>
  <c r="K8" i="4"/>
  <c r="G9" i="4" s="1"/>
  <c r="I8" i="4"/>
  <c r="J8" i="4" s="1"/>
  <c r="H10" i="2"/>
  <c r="I10" i="2" s="1"/>
  <c r="J10" i="2" s="1"/>
  <c r="F11" i="2" s="1"/>
  <c r="O21" i="12" l="1"/>
  <c r="P21" i="12" s="1"/>
  <c r="E15" i="12"/>
  <c r="H14" i="12"/>
  <c r="I14" i="12" s="1"/>
  <c r="J14" i="12" s="1"/>
  <c r="F15" i="12" s="1"/>
  <c r="G13" i="11"/>
  <c r="H13" i="11" s="1"/>
  <c r="I13" i="11" s="1"/>
  <c r="E14" i="11" s="1"/>
  <c r="E6" i="6"/>
  <c r="G6" i="6"/>
  <c r="F21" i="10"/>
  <c r="I20" i="10"/>
  <c r="J20" i="10" s="1"/>
  <c r="K20" i="10" s="1"/>
  <c r="G21" i="10" s="1"/>
  <c r="K11" i="10"/>
  <c r="J9" i="9"/>
  <c r="K9" i="9" s="1"/>
  <c r="L9" i="9" s="1"/>
  <c r="H10" i="9" s="1"/>
  <c r="I7" i="3"/>
  <c r="J7" i="3" s="1"/>
  <c r="E5" i="14"/>
  <c r="F16" i="7"/>
  <c r="B17" i="7" s="1"/>
  <c r="F14" i="5"/>
  <c r="I9" i="4"/>
  <c r="J9" i="4" s="1"/>
  <c r="K9" i="4" s="1"/>
  <c r="G10" i="4" s="1"/>
  <c r="H11" i="2"/>
  <c r="I11" i="2" s="1"/>
  <c r="J11" i="2" s="1"/>
  <c r="F12" i="2" s="1"/>
  <c r="Q21" i="12" l="1"/>
  <c r="M22" i="12" s="1"/>
  <c r="E16" i="12"/>
  <c r="H15" i="12"/>
  <c r="I15" i="12" s="1"/>
  <c r="J15" i="12" s="1"/>
  <c r="F16" i="12" s="1"/>
  <c r="G14" i="11"/>
  <c r="H14" i="11" s="1"/>
  <c r="I14" i="11" s="1"/>
  <c r="E15" i="11" s="1"/>
  <c r="H6" i="6"/>
  <c r="I6" i="6" s="1"/>
  <c r="E7" i="6" s="1"/>
  <c r="G7" i="6" s="1"/>
  <c r="H7" i="6" s="1"/>
  <c r="F22" i="10"/>
  <c r="I22" i="10" s="1"/>
  <c r="J22" i="10" s="1"/>
  <c r="I21" i="10"/>
  <c r="J21" i="10" s="1"/>
  <c r="K21" i="10" s="1"/>
  <c r="G22" i="10" s="1"/>
  <c r="K22" i="10" s="1"/>
  <c r="J10" i="9"/>
  <c r="K10" i="9" s="1"/>
  <c r="L10" i="9" s="1"/>
  <c r="H11" i="9" s="1"/>
  <c r="K7" i="3"/>
  <c r="G8" i="3" s="1"/>
  <c r="F5" i="14"/>
  <c r="B6" i="14" s="1"/>
  <c r="D6" i="14" s="1"/>
  <c r="D17" i="7"/>
  <c r="F15" i="5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I10" i="4"/>
  <c r="J10" i="4" s="1"/>
  <c r="K10" i="4"/>
  <c r="G11" i="4" s="1"/>
  <c r="H12" i="2"/>
  <c r="I12" i="2" s="1"/>
  <c r="J12" i="2"/>
  <c r="F13" i="2" s="1"/>
  <c r="O22" i="12" l="1"/>
  <c r="P22" i="12" s="1"/>
  <c r="E17" i="12"/>
  <c r="H16" i="12"/>
  <c r="I16" i="12" s="1"/>
  <c r="J16" i="12" s="1"/>
  <c r="F17" i="12" s="1"/>
  <c r="G15" i="11"/>
  <c r="H15" i="11" s="1"/>
  <c r="I15" i="11" s="1"/>
  <c r="E16" i="11" s="1"/>
  <c r="I7" i="6"/>
  <c r="J11" i="9"/>
  <c r="K11" i="9" s="1"/>
  <c r="L11" i="9" s="1"/>
  <c r="H12" i="9" s="1"/>
  <c r="I8" i="3"/>
  <c r="J8" i="3" s="1"/>
  <c r="E6" i="14"/>
  <c r="E17" i="7"/>
  <c r="I11" i="4"/>
  <c r="J11" i="4" s="1"/>
  <c r="K11" i="4" s="1"/>
  <c r="G12" i="4" s="1"/>
  <c r="H13" i="2"/>
  <c r="I13" i="2" s="1"/>
  <c r="J13" i="2" s="1"/>
  <c r="F14" i="2" s="1"/>
  <c r="Q22" i="12" l="1"/>
  <c r="M23" i="12" s="1"/>
  <c r="H17" i="12"/>
  <c r="I17" i="12" s="1"/>
  <c r="J17" i="12" s="1"/>
  <c r="F18" i="12" s="1"/>
  <c r="E18" i="12"/>
  <c r="G16" i="11"/>
  <c r="H16" i="11" s="1"/>
  <c r="I16" i="11" s="1"/>
  <c r="E17" i="11" s="1"/>
  <c r="E8" i="6"/>
  <c r="G8" i="6"/>
  <c r="J12" i="9"/>
  <c r="K12" i="9" s="1"/>
  <c r="L12" i="9" s="1"/>
  <c r="H13" i="9" s="1"/>
  <c r="K8" i="3"/>
  <c r="G9" i="3" s="1"/>
  <c r="F6" i="14"/>
  <c r="B7" i="14" s="1"/>
  <c r="F17" i="7"/>
  <c r="B18" i="7" s="1"/>
  <c r="K12" i="4"/>
  <c r="G13" i="4" s="1"/>
  <c r="I12" i="4"/>
  <c r="J12" i="4" s="1"/>
  <c r="H14" i="2"/>
  <c r="I14" i="2" s="1"/>
  <c r="J14" i="2"/>
  <c r="F15" i="2" s="1"/>
  <c r="O23" i="12" l="1"/>
  <c r="P23" i="12" s="1"/>
  <c r="E19" i="12"/>
  <c r="H18" i="12"/>
  <c r="I18" i="12" s="1"/>
  <c r="J18" i="12" s="1"/>
  <c r="F19" i="12" s="1"/>
  <c r="G17" i="11"/>
  <c r="H17" i="11" s="1"/>
  <c r="H8" i="6"/>
  <c r="I8" i="6" s="1"/>
  <c r="E9" i="6" s="1"/>
  <c r="G9" i="6" s="1"/>
  <c r="J13" i="9"/>
  <c r="K13" i="9" s="1"/>
  <c r="L13" i="9" s="1"/>
  <c r="H14" i="9" s="1"/>
  <c r="I9" i="3"/>
  <c r="J9" i="3" s="1"/>
  <c r="D7" i="14"/>
  <c r="D18" i="7"/>
  <c r="K13" i="4"/>
  <c r="G14" i="4" s="1"/>
  <c r="I13" i="4"/>
  <c r="J13" i="4" s="1"/>
  <c r="H15" i="2"/>
  <c r="I15" i="2" s="1"/>
  <c r="J15" i="2" s="1"/>
  <c r="F16" i="2" s="1"/>
  <c r="Q23" i="12" l="1"/>
  <c r="M24" i="12" s="1"/>
  <c r="H19" i="12"/>
  <c r="I19" i="12" s="1"/>
  <c r="J19" i="12" s="1"/>
  <c r="F20" i="12" s="1"/>
  <c r="E20" i="12"/>
  <c r="I17" i="11"/>
  <c r="E18" i="11" s="1"/>
  <c r="G18" i="11" s="1"/>
  <c r="H18" i="11" s="1"/>
  <c r="I18" i="11" s="1"/>
  <c r="E19" i="11" s="1"/>
  <c r="H9" i="6"/>
  <c r="I9" i="6" s="1"/>
  <c r="E10" i="6" s="1"/>
  <c r="J14" i="9"/>
  <c r="K14" i="9" s="1"/>
  <c r="L14" i="9" s="1"/>
  <c r="H15" i="9" s="1"/>
  <c r="K9" i="3"/>
  <c r="G10" i="3" s="1"/>
  <c r="E7" i="14"/>
  <c r="D8" i="14"/>
  <c r="E18" i="7"/>
  <c r="D19" i="7"/>
  <c r="I14" i="4"/>
  <c r="J14" i="4" s="1"/>
  <c r="K14" i="4" s="1"/>
  <c r="G15" i="4" s="1"/>
  <c r="H16" i="2"/>
  <c r="I16" i="2" s="1"/>
  <c r="J16" i="2"/>
  <c r="F17" i="2" s="1"/>
  <c r="O24" i="12" l="1"/>
  <c r="P24" i="12" s="1"/>
  <c r="H20" i="12"/>
  <c r="I20" i="12" s="1"/>
  <c r="E21" i="12"/>
  <c r="J20" i="12"/>
  <c r="F21" i="12" s="1"/>
  <c r="G19" i="11"/>
  <c r="H19" i="11" s="1"/>
  <c r="I19" i="11" s="1"/>
  <c r="E20" i="11" s="1"/>
  <c r="G10" i="6"/>
  <c r="J15" i="9"/>
  <c r="K15" i="9" s="1"/>
  <c r="L15" i="9" s="1"/>
  <c r="H16" i="9" s="1"/>
  <c r="I10" i="3"/>
  <c r="J10" i="3" s="1"/>
  <c r="E8" i="14"/>
  <c r="F7" i="14"/>
  <c r="B8" i="14" s="1"/>
  <c r="F18" i="7"/>
  <c r="K15" i="4"/>
  <c r="G16" i="4" s="1"/>
  <c r="I15" i="4"/>
  <c r="J15" i="4" s="1"/>
  <c r="H17" i="2"/>
  <c r="I17" i="2" s="1"/>
  <c r="J17" i="2" s="1"/>
  <c r="F18" i="2" s="1"/>
  <c r="Q24" i="12" l="1"/>
  <c r="M25" i="12" s="1"/>
  <c r="E22" i="12"/>
  <c r="H21" i="12"/>
  <c r="I21" i="12" s="1"/>
  <c r="J21" i="12" s="1"/>
  <c r="F22" i="12" s="1"/>
  <c r="G20" i="11"/>
  <c r="H20" i="11" s="1"/>
  <c r="I20" i="11"/>
  <c r="E21" i="11" s="1"/>
  <c r="H10" i="6"/>
  <c r="I10" i="6" s="1"/>
  <c r="E11" i="6" s="1"/>
  <c r="J16" i="9"/>
  <c r="K16" i="9" s="1"/>
  <c r="L16" i="9" s="1"/>
  <c r="H17" i="9" s="1"/>
  <c r="K10" i="3"/>
  <c r="G11" i="3" s="1"/>
  <c r="I16" i="4"/>
  <c r="J16" i="4" s="1"/>
  <c r="K16" i="4" s="1"/>
  <c r="G17" i="4" s="1"/>
  <c r="H18" i="2"/>
  <c r="I18" i="2" s="1"/>
  <c r="J18" i="2"/>
  <c r="F19" i="2" s="1"/>
  <c r="O25" i="12" l="1"/>
  <c r="P25" i="12" s="1"/>
  <c r="Q25" i="12" s="1"/>
  <c r="M26" i="12" s="1"/>
  <c r="E23" i="12"/>
  <c r="H22" i="12"/>
  <c r="I22" i="12" s="1"/>
  <c r="J22" i="12" s="1"/>
  <c r="F23" i="12" s="1"/>
  <c r="G21" i="11"/>
  <c r="H21" i="11" s="1"/>
  <c r="I21" i="11" s="1"/>
  <c r="E22" i="11" s="1"/>
  <c r="G11" i="6"/>
  <c r="J17" i="9"/>
  <c r="K17" i="9" s="1"/>
  <c r="L17" i="9" s="1"/>
  <c r="H18" i="9" s="1"/>
  <c r="I11" i="3"/>
  <c r="J11" i="3" s="1"/>
  <c r="I17" i="4"/>
  <c r="J17" i="4" s="1"/>
  <c r="K17" i="4" s="1"/>
  <c r="G18" i="4" s="1"/>
  <c r="H19" i="2"/>
  <c r="I19" i="2" s="1"/>
  <c r="J19" i="2" s="1"/>
  <c r="F20" i="2" s="1"/>
  <c r="O26" i="12" l="1"/>
  <c r="P26" i="12" s="1"/>
  <c r="H23" i="12"/>
  <c r="I23" i="12" s="1"/>
  <c r="J23" i="12" s="1"/>
  <c r="F24" i="12" s="1"/>
  <c r="E24" i="12"/>
  <c r="G22" i="11"/>
  <c r="H22" i="11" s="1"/>
  <c r="I22" i="11" s="1"/>
  <c r="E23" i="11" s="1"/>
  <c r="H11" i="6"/>
  <c r="I11" i="6" s="1"/>
  <c r="E12" i="6" s="1"/>
  <c r="J18" i="9"/>
  <c r="K18" i="9" s="1"/>
  <c r="L18" i="9" s="1"/>
  <c r="H19" i="9" s="1"/>
  <c r="K11" i="3"/>
  <c r="G12" i="3" s="1"/>
  <c r="I18" i="4"/>
  <c r="J18" i="4" s="1"/>
  <c r="K18" i="4" s="1"/>
  <c r="G19" i="4" s="1"/>
  <c r="H20" i="2"/>
  <c r="I20" i="2" s="1"/>
  <c r="J20" i="2" s="1"/>
  <c r="Q26" i="12" l="1"/>
  <c r="M27" i="12" s="1"/>
  <c r="H24" i="12"/>
  <c r="I24" i="12" s="1"/>
  <c r="J24" i="12" s="1"/>
  <c r="F25" i="12" s="1"/>
  <c r="E25" i="12"/>
  <c r="G23" i="11"/>
  <c r="H23" i="11" s="1"/>
  <c r="I23" i="11" s="1"/>
  <c r="E24" i="11" s="1"/>
  <c r="G12" i="6"/>
  <c r="J19" i="9"/>
  <c r="K19" i="9" s="1"/>
  <c r="L19" i="9" s="1"/>
  <c r="H20" i="9" s="1"/>
  <c r="I12" i="3"/>
  <c r="J12" i="3" s="1"/>
  <c r="I19" i="4"/>
  <c r="J19" i="4" s="1"/>
  <c r="K19" i="4" s="1"/>
  <c r="G20" i="4" s="1"/>
  <c r="O27" i="12" l="1"/>
  <c r="P27" i="12" s="1"/>
  <c r="H25" i="12"/>
  <c r="I25" i="12" s="1"/>
  <c r="J25" i="12" s="1"/>
  <c r="F26" i="12" s="1"/>
  <c r="E26" i="12"/>
  <c r="G24" i="11"/>
  <c r="H24" i="11" s="1"/>
  <c r="I24" i="11"/>
  <c r="E25" i="11" s="1"/>
  <c r="H12" i="6"/>
  <c r="I12" i="6" s="1"/>
  <c r="E13" i="6" s="1"/>
  <c r="G13" i="6" s="1"/>
  <c r="J20" i="9"/>
  <c r="K20" i="9" s="1"/>
  <c r="L20" i="9" s="1"/>
  <c r="H21" i="9" s="1"/>
  <c r="K12" i="3"/>
  <c r="G13" i="3" s="1"/>
  <c r="I20" i="4"/>
  <c r="J20" i="4" s="1"/>
  <c r="K20" i="4" s="1"/>
  <c r="G21" i="4" s="1"/>
  <c r="Q27" i="12" l="1"/>
  <c r="M28" i="12" s="1"/>
  <c r="H26" i="12"/>
  <c r="I26" i="12" s="1"/>
  <c r="J26" i="12" s="1"/>
  <c r="F27" i="12" s="1"/>
  <c r="E27" i="12"/>
  <c r="G25" i="11"/>
  <c r="H25" i="11" s="1"/>
  <c r="I25" i="11" s="1"/>
  <c r="E26" i="11" s="1"/>
  <c r="H13" i="6"/>
  <c r="I13" i="6" s="1"/>
  <c r="E14" i="6" s="1"/>
  <c r="J21" i="9"/>
  <c r="K21" i="9" s="1"/>
  <c r="L21" i="9" s="1"/>
  <c r="H22" i="9" s="1"/>
  <c r="I13" i="3"/>
  <c r="J13" i="3" s="1"/>
  <c r="I21" i="4"/>
  <c r="J21" i="4" s="1"/>
  <c r="K21" i="4"/>
  <c r="G22" i="4" s="1"/>
  <c r="O28" i="12" l="1"/>
  <c r="P28" i="12" s="1"/>
  <c r="E28" i="12"/>
  <c r="H27" i="12"/>
  <c r="I27" i="12" s="1"/>
  <c r="J27" i="12" s="1"/>
  <c r="F28" i="12" s="1"/>
  <c r="G26" i="11"/>
  <c r="H26" i="11" s="1"/>
  <c r="I26" i="11" s="1"/>
  <c r="E27" i="11" s="1"/>
  <c r="G14" i="6"/>
  <c r="J22" i="9"/>
  <c r="K22" i="9" s="1"/>
  <c r="L22" i="9" s="1"/>
  <c r="H23" i="9" s="1"/>
  <c r="K13" i="3"/>
  <c r="G14" i="3" s="1"/>
  <c r="I22" i="4"/>
  <c r="J22" i="4" s="1"/>
  <c r="K22" i="4"/>
  <c r="G23" i="4" s="1"/>
  <c r="Q28" i="12" l="1"/>
  <c r="M29" i="12" s="1"/>
  <c r="E29" i="12"/>
  <c r="H28" i="12"/>
  <c r="I28" i="12" s="1"/>
  <c r="J28" i="12" s="1"/>
  <c r="F29" i="12" s="1"/>
  <c r="G27" i="11"/>
  <c r="H27" i="11" s="1"/>
  <c r="I27" i="11" s="1"/>
  <c r="E28" i="11" s="1"/>
  <c r="H14" i="6"/>
  <c r="I14" i="6" s="1"/>
  <c r="E15" i="6" s="1"/>
  <c r="J23" i="9"/>
  <c r="K23" i="9" s="1"/>
  <c r="L23" i="9" s="1"/>
  <c r="H24" i="9" s="1"/>
  <c r="I14" i="3"/>
  <c r="J14" i="3" s="1"/>
  <c r="I23" i="4"/>
  <c r="J23" i="4" s="1"/>
  <c r="K23" i="4"/>
  <c r="G24" i="4" s="1"/>
  <c r="O29" i="12" l="1"/>
  <c r="P29" i="12" s="1"/>
  <c r="E30" i="12"/>
  <c r="H29" i="12"/>
  <c r="I29" i="12" s="1"/>
  <c r="J29" i="12" s="1"/>
  <c r="F30" i="12" s="1"/>
  <c r="G28" i="11"/>
  <c r="H28" i="11" s="1"/>
  <c r="I28" i="11" s="1"/>
  <c r="E29" i="11" s="1"/>
  <c r="G15" i="6"/>
  <c r="J24" i="9"/>
  <c r="K24" i="9" s="1"/>
  <c r="L24" i="9" s="1"/>
  <c r="H25" i="9" s="1"/>
  <c r="K14" i="3"/>
  <c r="G15" i="3" s="1"/>
  <c r="K24" i="4"/>
  <c r="G25" i="4" s="1"/>
  <c r="I24" i="4"/>
  <c r="J24" i="4" s="1"/>
  <c r="Q29" i="12" l="1"/>
  <c r="M30" i="12" s="1"/>
  <c r="H30" i="12"/>
  <c r="I30" i="12" s="1"/>
  <c r="J30" i="12" s="1"/>
  <c r="F31" i="12" s="1"/>
  <c r="E31" i="12"/>
  <c r="G29" i="11"/>
  <c r="H29" i="11" s="1"/>
  <c r="I29" i="11" s="1"/>
  <c r="E30" i="11" s="1"/>
  <c r="H15" i="6"/>
  <c r="I15" i="6" s="1"/>
  <c r="E16" i="6" s="1"/>
  <c r="J25" i="9"/>
  <c r="K25" i="9" s="1"/>
  <c r="L25" i="9" s="1"/>
  <c r="H26" i="9" s="1"/>
  <c r="I15" i="3"/>
  <c r="J15" i="3" s="1"/>
  <c r="I25" i="4"/>
  <c r="J25" i="4" s="1"/>
  <c r="K25" i="4" s="1"/>
  <c r="G26" i="4" s="1"/>
  <c r="O30" i="12" l="1"/>
  <c r="P30" i="12" s="1"/>
  <c r="H31" i="12"/>
  <c r="I31" i="12" s="1"/>
  <c r="J31" i="12" s="1"/>
  <c r="F32" i="12" s="1"/>
  <c r="E32" i="12"/>
  <c r="G30" i="11"/>
  <c r="H30" i="11" s="1"/>
  <c r="G16" i="6"/>
  <c r="H16" i="6" s="1"/>
  <c r="I16" i="6" s="1"/>
  <c r="E17" i="6" s="1"/>
  <c r="G17" i="6" s="1"/>
  <c r="J26" i="9"/>
  <c r="K26" i="9" s="1"/>
  <c r="L26" i="9" s="1"/>
  <c r="H27" i="9" s="1"/>
  <c r="K15" i="3"/>
  <c r="G16" i="3" s="1"/>
  <c r="I26" i="4"/>
  <c r="J26" i="4" s="1"/>
  <c r="K26" i="4" s="1"/>
  <c r="G27" i="4" s="1"/>
  <c r="Q30" i="12" l="1"/>
  <c r="M31" i="12" s="1"/>
  <c r="E33" i="12"/>
  <c r="H32" i="12"/>
  <c r="I32" i="12" s="1"/>
  <c r="J32" i="12" s="1"/>
  <c r="F33" i="12" s="1"/>
  <c r="I30" i="11"/>
  <c r="E31" i="11" s="1"/>
  <c r="H17" i="6"/>
  <c r="I17" i="6" s="1"/>
  <c r="E18" i="6" s="1"/>
  <c r="G18" i="6" s="1"/>
  <c r="J27" i="9"/>
  <c r="K27" i="9" s="1"/>
  <c r="L27" i="9" s="1"/>
  <c r="H28" i="9" s="1"/>
  <c r="I16" i="3"/>
  <c r="J16" i="3" s="1"/>
  <c r="I27" i="4"/>
  <c r="J27" i="4" s="1"/>
  <c r="K27" i="4" s="1"/>
  <c r="G28" i="4" s="1"/>
  <c r="O31" i="12" l="1"/>
  <c r="P31" i="12" s="1"/>
  <c r="H33" i="12"/>
  <c r="I33" i="12" s="1"/>
  <c r="J33" i="12" s="1"/>
  <c r="F34" i="12" s="1"/>
  <c r="E34" i="12"/>
  <c r="G31" i="11"/>
  <c r="H31" i="11" s="1"/>
  <c r="I31" i="11"/>
  <c r="E32" i="11" s="1"/>
  <c r="G32" i="11" s="1"/>
  <c r="H32" i="11" s="1"/>
  <c r="I32" i="11" s="1"/>
  <c r="E33" i="11" s="1"/>
  <c r="H18" i="6"/>
  <c r="I18" i="6" s="1"/>
  <c r="E19" i="6" s="1"/>
  <c r="G19" i="6" s="1"/>
  <c r="J28" i="9"/>
  <c r="K28" i="9" s="1"/>
  <c r="L28" i="9" s="1"/>
  <c r="H29" i="9" s="1"/>
  <c r="K16" i="3"/>
  <c r="G17" i="3" s="1"/>
  <c r="I28" i="4"/>
  <c r="J28" i="4" s="1"/>
  <c r="K28" i="4"/>
  <c r="G29" i="4" s="1"/>
  <c r="Q31" i="12" l="1"/>
  <c r="M32" i="12" s="1"/>
  <c r="H34" i="12"/>
  <c r="I34" i="12" s="1"/>
  <c r="J34" i="12" s="1"/>
  <c r="F35" i="12" s="1"/>
  <c r="E35" i="12"/>
  <c r="G33" i="11"/>
  <c r="H33" i="11" s="1"/>
  <c r="I33" i="11" s="1"/>
  <c r="E34" i="11" s="1"/>
  <c r="H19" i="6"/>
  <c r="I19" i="6" s="1"/>
  <c r="E20" i="6" s="1"/>
  <c r="G20" i="6" s="1"/>
  <c r="J29" i="9"/>
  <c r="K29" i="9" s="1"/>
  <c r="L29" i="9" s="1"/>
  <c r="H30" i="9" s="1"/>
  <c r="I17" i="3"/>
  <c r="J17" i="3" s="1"/>
  <c r="I29" i="4"/>
  <c r="J29" i="4" s="1"/>
  <c r="K29" i="4"/>
  <c r="G30" i="4" s="1"/>
  <c r="O32" i="12" l="1"/>
  <c r="P32" i="12" s="1"/>
  <c r="E36" i="12"/>
  <c r="H35" i="12"/>
  <c r="I35" i="12" s="1"/>
  <c r="J35" i="12" s="1"/>
  <c r="F36" i="12" s="1"/>
  <c r="G34" i="11"/>
  <c r="H34" i="11" s="1"/>
  <c r="I34" i="11" s="1"/>
  <c r="E35" i="11" s="1"/>
  <c r="H20" i="6"/>
  <c r="I20" i="6" s="1"/>
  <c r="E21" i="6" s="1"/>
  <c r="J30" i="9"/>
  <c r="K30" i="9" s="1"/>
  <c r="L30" i="9" s="1"/>
  <c r="H31" i="9" s="1"/>
  <c r="K17" i="3"/>
  <c r="G18" i="3" s="1"/>
  <c r="I30" i="4"/>
  <c r="J30" i="4" s="1"/>
  <c r="K30" i="4" s="1"/>
  <c r="G31" i="4" s="1"/>
  <c r="Q32" i="12" l="1"/>
  <c r="M33" i="12" s="1"/>
  <c r="E37" i="12"/>
  <c r="H36" i="12"/>
  <c r="I36" i="12" s="1"/>
  <c r="J36" i="12" s="1"/>
  <c r="F37" i="12" s="1"/>
  <c r="G35" i="11"/>
  <c r="H35" i="11" s="1"/>
  <c r="I35" i="11" s="1"/>
  <c r="E36" i="11" s="1"/>
  <c r="G21" i="6"/>
  <c r="H21" i="6" s="1"/>
  <c r="I21" i="6" s="1"/>
  <c r="E22" i="6" s="1"/>
  <c r="J31" i="9"/>
  <c r="K31" i="9" s="1"/>
  <c r="L31" i="9" s="1"/>
  <c r="H32" i="9" s="1"/>
  <c r="I18" i="3"/>
  <c r="J18" i="3" s="1"/>
  <c r="K18" i="3" s="1"/>
  <c r="G19" i="3" s="1"/>
  <c r="I31" i="4"/>
  <c r="J31" i="4" s="1"/>
  <c r="K31" i="4"/>
  <c r="G32" i="4" s="1"/>
  <c r="O33" i="12" l="1"/>
  <c r="P33" i="12" s="1"/>
  <c r="H37" i="12"/>
  <c r="I37" i="12" s="1"/>
  <c r="J37" i="12" s="1"/>
  <c r="F38" i="12" s="1"/>
  <c r="E38" i="12"/>
  <c r="G36" i="11"/>
  <c r="H36" i="11" s="1"/>
  <c r="I36" i="11"/>
  <c r="E37" i="11" s="1"/>
  <c r="G22" i="6"/>
  <c r="H22" i="6" s="1"/>
  <c r="I22" i="6" s="1"/>
  <c r="E23" i="6" s="1"/>
  <c r="G23" i="6" s="1"/>
  <c r="J32" i="9"/>
  <c r="K32" i="9" s="1"/>
  <c r="L32" i="9" s="1"/>
  <c r="H33" i="9" s="1"/>
  <c r="I19" i="3"/>
  <c r="J19" i="3" s="1"/>
  <c r="K19" i="3" s="1"/>
  <c r="G20" i="3" s="1"/>
  <c r="I32" i="4"/>
  <c r="J32" i="4" s="1"/>
  <c r="K32" i="4" s="1"/>
  <c r="G33" i="4" s="1"/>
  <c r="Q33" i="12" l="1"/>
  <c r="M34" i="12" s="1"/>
  <c r="E39" i="12"/>
  <c r="H38" i="12"/>
  <c r="I38" i="12" s="1"/>
  <c r="J38" i="12" s="1"/>
  <c r="F39" i="12" s="1"/>
  <c r="G37" i="11"/>
  <c r="H37" i="11" s="1"/>
  <c r="I37" i="11" s="1"/>
  <c r="E38" i="11" s="1"/>
  <c r="H23" i="6"/>
  <c r="I23" i="6" s="1"/>
  <c r="E24" i="6" s="1"/>
  <c r="G24" i="6" s="1"/>
  <c r="J33" i="9"/>
  <c r="K33" i="9" s="1"/>
  <c r="L33" i="9" s="1"/>
  <c r="H34" i="9" s="1"/>
  <c r="I20" i="3"/>
  <c r="J20" i="3" s="1"/>
  <c r="K20" i="3" s="1"/>
  <c r="I33" i="4"/>
  <c r="J33" i="4" s="1"/>
  <c r="K33" i="4" s="1"/>
  <c r="G34" i="4" s="1"/>
  <c r="O34" i="12" l="1"/>
  <c r="P34" i="12" s="1"/>
  <c r="Q34" i="12" s="1"/>
  <c r="M35" i="12" s="1"/>
  <c r="E40" i="12"/>
  <c r="H39" i="12"/>
  <c r="I39" i="12" s="1"/>
  <c r="J39" i="12" s="1"/>
  <c r="F40" i="12" s="1"/>
  <c r="G38" i="11"/>
  <c r="H38" i="11" s="1"/>
  <c r="I38" i="11" s="1"/>
  <c r="E39" i="11" s="1"/>
  <c r="H24" i="6"/>
  <c r="I24" i="6" s="1"/>
  <c r="E25" i="6" s="1"/>
  <c r="J34" i="9"/>
  <c r="K34" i="9" s="1"/>
  <c r="L34" i="9" s="1"/>
  <c r="H35" i="9" s="1"/>
  <c r="I34" i="4"/>
  <c r="J34" i="4" s="1"/>
  <c r="K34" i="4"/>
  <c r="G35" i="4" s="1"/>
  <c r="O35" i="12" l="1"/>
  <c r="P35" i="12" s="1"/>
  <c r="H40" i="12"/>
  <c r="I40" i="12" s="1"/>
  <c r="J40" i="12" s="1"/>
  <c r="F41" i="12" s="1"/>
  <c r="E41" i="12"/>
  <c r="G39" i="11"/>
  <c r="H39" i="11" s="1"/>
  <c r="I39" i="11" s="1"/>
  <c r="E40" i="11" s="1"/>
  <c r="G25" i="6"/>
  <c r="H25" i="6" s="1"/>
  <c r="I25" i="6" s="1"/>
  <c r="E26" i="6" s="1"/>
  <c r="G26" i="6" s="1"/>
  <c r="J35" i="9"/>
  <c r="K35" i="9" s="1"/>
  <c r="L35" i="9" s="1"/>
  <c r="H36" i="9" s="1"/>
  <c r="I35" i="4"/>
  <c r="J35" i="4" s="1"/>
  <c r="K35" i="4"/>
  <c r="G36" i="4" s="1"/>
  <c r="Q35" i="12" l="1"/>
  <c r="M36" i="12" s="1"/>
  <c r="H41" i="12"/>
  <c r="I41" i="12" s="1"/>
  <c r="J41" i="12" s="1"/>
  <c r="F42" i="12" s="1"/>
  <c r="E42" i="12"/>
  <c r="G40" i="11"/>
  <c r="H40" i="11" s="1"/>
  <c r="I40" i="11" s="1"/>
  <c r="E41" i="11" s="1"/>
  <c r="H26" i="6"/>
  <c r="I26" i="6" s="1"/>
  <c r="E27" i="6" s="1"/>
  <c r="G27" i="6" s="1"/>
  <c r="J36" i="9"/>
  <c r="K36" i="9" s="1"/>
  <c r="L36" i="9" s="1"/>
  <c r="H37" i="9" s="1"/>
  <c r="I36" i="4"/>
  <c r="J36" i="4" s="1"/>
  <c r="K36" i="4" s="1"/>
  <c r="G37" i="4" s="1"/>
  <c r="O36" i="12" l="1"/>
  <c r="P36" i="12" s="1"/>
  <c r="E43" i="12"/>
  <c r="H42" i="12"/>
  <c r="I42" i="12" s="1"/>
  <c r="J42" i="12" s="1"/>
  <c r="F43" i="12" s="1"/>
  <c r="G41" i="11"/>
  <c r="H41" i="11" s="1"/>
  <c r="I41" i="11" s="1"/>
  <c r="E42" i="11" s="1"/>
  <c r="H27" i="6"/>
  <c r="I27" i="6" s="1"/>
  <c r="E28" i="6" s="1"/>
  <c r="J37" i="9"/>
  <c r="K37" i="9" s="1"/>
  <c r="L37" i="9" s="1"/>
  <c r="H38" i="9" s="1"/>
  <c r="K37" i="4"/>
  <c r="G38" i="4" s="1"/>
  <c r="I37" i="4"/>
  <c r="J37" i="4" s="1"/>
  <c r="Q36" i="12" l="1"/>
  <c r="M37" i="12" s="1"/>
  <c r="E44" i="12"/>
  <c r="H43" i="12"/>
  <c r="I43" i="12" s="1"/>
  <c r="J43" i="12" s="1"/>
  <c r="F44" i="12" s="1"/>
  <c r="G42" i="11"/>
  <c r="H42" i="11" s="1"/>
  <c r="I42" i="11" s="1"/>
  <c r="E43" i="11" s="1"/>
  <c r="G28" i="6"/>
  <c r="H28" i="6" s="1"/>
  <c r="I28" i="6" s="1"/>
  <c r="E29" i="6" s="1"/>
  <c r="G29" i="6" s="1"/>
  <c r="J38" i="9"/>
  <c r="K38" i="9" s="1"/>
  <c r="L38" i="9" s="1"/>
  <c r="H39" i="9" s="1"/>
  <c r="I38" i="4"/>
  <c r="J38" i="4" s="1"/>
  <c r="K38" i="4" s="1"/>
  <c r="G39" i="4" s="1"/>
  <c r="O37" i="12" l="1"/>
  <c r="P37" i="12" s="1"/>
  <c r="Q37" i="12" s="1"/>
  <c r="M38" i="12" s="1"/>
  <c r="H44" i="12"/>
  <c r="I44" i="12" s="1"/>
  <c r="J44" i="12" s="1"/>
  <c r="F45" i="12" s="1"/>
  <c r="E45" i="12"/>
  <c r="G43" i="11"/>
  <c r="H43" i="11" s="1"/>
  <c r="I43" i="11" s="1"/>
  <c r="E44" i="11" s="1"/>
  <c r="H29" i="6"/>
  <c r="I29" i="6" s="1"/>
  <c r="E30" i="6" s="1"/>
  <c r="J39" i="9"/>
  <c r="K39" i="9" s="1"/>
  <c r="L39" i="9" s="1"/>
  <c r="H40" i="9" s="1"/>
  <c r="K39" i="4"/>
  <c r="G40" i="4" s="1"/>
  <c r="I39" i="4"/>
  <c r="J39" i="4" s="1"/>
  <c r="O38" i="12" l="1"/>
  <c r="P38" i="12" s="1"/>
  <c r="Q38" i="12" s="1"/>
  <c r="M39" i="12" s="1"/>
  <c r="E46" i="12"/>
  <c r="H45" i="12"/>
  <c r="I45" i="12" s="1"/>
  <c r="J45" i="12" s="1"/>
  <c r="F46" i="12" s="1"/>
  <c r="G44" i="11"/>
  <c r="H44" i="11" s="1"/>
  <c r="I44" i="11"/>
  <c r="E45" i="11" s="1"/>
  <c r="G30" i="6"/>
  <c r="H30" i="6" s="1"/>
  <c r="I30" i="6" s="1"/>
  <c r="E31" i="6" s="1"/>
  <c r="J40" i="9"/>
  <c r="K40" i="9" s="1"/>
  <c r="L40" i="9" s="1"/>
  <c r="H41" i="9" s="1"/>
  <c r="I40" i="4"/>
  <c r="J40" i="4" s="1"/>
  <c r="K40" i="4" s="1"/>
  <c r="G41" i="4" s="1"/>
  <c r="O39" i="12" l="1"/>
  <c r="P39" i="12" s="1"/>
  <c r="E47" i="12"/>
  <c r="H46" i="12"/>
  <c r="I46" i="12" s="1"/>
  <c r="J46" i="12" s="1"/>
  <c r="F47" i="12" s="1"/>
  <c r="G45" i="11"/>
  <c r="H45" i="11" s="1"/>
  <c r="I45" i="11" s="1"/>
  <c r="E46" i="11" s="1"/>
  <c r="G31" i="6"/>
  <c r="H31" i="6" s="1"/>
  <c r="I31" i="6" s="1"/>
  <c r="E32" i="6" s="1"/>
  <c r="G32" i="6" s="1"/>
  <c r="J41" i="9"/>
  <c r="K41" i="9" s="1"/>
  <c r="L41" i="9" s="1"/>
  <c r="H42" i="9" s="1"/>
  <c r="I41" i="4"/>
  <c r="J41" i="4" s="1"/>
  <c r="K41" i="4" s="1"/>
  <c r="G42" i="4" s="1"/>
  <c r="Q39" i="12" l="1"/>
  <c r="M40" i="12" s="1"/>
  <c r="E48" i="12"/>
  <c r="H47" i="12"/>
  <c r="I47" i="12" s="1"/>
  <c r="J47" i="12" s="1"/>
  <c r="F48" i="12" s="1"/>
  <c r="G46" i="11"/>
  <c r="H46" i="11" s="1"/>
  <c r="I46" i="11" s="1"/>
  <c r="E47" i="11" s="1"/>
  <c r="H32" i="6"/>
  <c r="I32" i="6" s="1"/>
  <c r="E33" i="6" s="1"/>
  <c r="G33" i="6" s="1"/>
  <c r="J42" i="9"/>
  <c r="K42" i="9" s="1"/>
  <c r="L42" i="9" s="1"/>
  <c r="H43" i="9" s="1"/>
  <c r="K42" i="4"/>
  <c r="G43" i="4" s="1"/>
  <c r="I42" i="4"/>
  <c r="J42" i="4" s="1"/>
  <c r="O40" i="12" l="1"/>
  <c r="P40" i="12" s="1"/>
  <c r="H48" i="12"/>
  <c r="I48" i="12" s="1"/>
  <c r="J48" i="12" s="1"/>
  <c r="F49" i="12" s="1"/>
  <c r="E49" i="12"/>
  <c r="G47" i="11"/>
  <c r="H47" i="11" s="1"/>
  <c r="I47" i="11" s="1"/>
  <c r="E48" i="11" s="1"/>
  <c r="H33" i="6"/>
  <c r="I33" i="6" s="1"/>
  <c r="E34" i="6" s="1"/>
  <c r="G34" i="6" s="1"/>
  <c r="J43" i="9"/>
  <c r="K43" i="9" s="1"/>
  <c r="L43" i="9" s="1"/>
  <c r="H44" i="9" s="1"/>
  <c r="I43" i="4"/>
  <c r="J43" i="4" s="1"/>
  <c r="K43" i="4" s="1"/>
  <c r="G44" i="4" s="1"/>
  <c r="Q40" i="12" l="1"/>
  <c r="M41" i="12" s="1"/>
  <c r="H49" i="12"/>
  <c r="I49" i="12" s="1"/>
  <c r="J49" i="12" s="1"/>
  <c r="F50" i="12" s="1"/>
  <c r="E50" i="12"/>
  <c r="G48" i="11"/>
  <c r="H48" i="11" s="1"/>
  <c r="I48" i="11" s="1"/>
  <c r="E49" i="11" s="1"/>
  <c r="H34" i="6"/>
  <c r="I34" i="6" s="1"/>
  <c r="E35" i="6" s="1"/>
  <c r="G35" i="6" s="1"/>
  <c r="J44" i="9"/>
  <c r="K44" i="9" s="1"/>
  <c r="L44" i="9" s="1"/>
  <c r="H45" i="9" s="1"/>
  <c r="K44" i="4"/>
  <c r="G45" i="4" s="1"/>
  <c r="I44" i="4"/>
  <c r="J44" i="4" s="1"/>
  <c r="O41" i="12" l="1"/>
  <c r="P41" i="12" s="1"/>
  <c r="Q41" i="12" s="1"/>
  <c r="M42" i="12" s="1"/>
  <c r="E51" i="12"/>
  <c r="H50" i="12"/>
  <c r="I50" i="12" s="1"/>
  <c r="J50" i="12" s="1"/>
  <c r="F51" i="12" s="1"/>
  <c r="G49" i="11"/>
  <c r="H49" i="11" s="1"/>
  <c r="I49" i="11" s="1"/>
  <c r="E50" i="11" s="1"/>
  <c r="H35" i="6"/>
  <c r="I35" i="6" s="1"/>
  <c r="E36" i="6" s="1"/>
  <c r="G36" i="6" s="1"/>
  <c r="J45" i="9"/>
  <c r="K45" i="9" s="1"/>
  <c r="L45" i="9" s="1"/>
  <c r="H46" i="9" s="1"/>
  <c r="I45" i="4"/>
  <c r="J45" i="4" s="1"/>
  <c r="K45" i="4" s="1"/>
  <c r="G46" i="4" s="1"/>
  <c r="O42" i="12" l="1"/>
  <c r="P42" i="12" s="1"/>
  <c r="Q42" i="12" s="1"/>
  <c r="M43" i="12" s="1"/>
  <c r="H51" i="12"/>
  <c r="I51" i="12" s="1"/>
  <c r="J51" i="12" s="1"/>
  <c r="F52" i="12" s="1"/>
  <c r="E52" i="12"/>
  <c r="G50" i="11"/>
  <c r="H50" i="11" s="1"/>
  <c r="I50" i="11" s="1"/>
  <c r="E51" i="11" s="1"/>
  <c r="H36" i="6"/>
  <c r="I36" i="6" s="1"/>
  <c r="E37" i="6" s="1"/>
  <c r="G37" i="6" s="1"/>
  <c r="J46" i="9"/>
  <c r="K46" i="9" s="1"/>
  <c r="L46" i="9" s="1"/>
  <c r="H47" i="9" s="1"/>
  <c r="I46" i="4"/>
  <c r="J46" i="4" s="1"/>
  <c r="K46" i="4"/>
  <c r="G47" i="4" s="1"/>
  <c r="O43" i="12" l="1"/>
  <c r="P43" i="12" s="1"/>
  <c r="H52" i="12"/>
  <c r="I52" i="12" s="1"/>
  <c r="J52" i="12" s="1"/>
  <c r="F53" i="12" s="1"/>
  <c r="E53" i="12"/>
  <c r="G51" i="11"/>
  <c r="H51" i="11" s="1"/>
  <c r="I51" i="11" s="1"/>
  <c r="E52" i="11" s="1"/>
  <c r="H37" i="6"/>
  <c r="I37" i="6" s="1"/>
  <c r="E38" i="6" s="1"/>
  <c r="G38" i="6" s="1"/>
  <c r="J47" i="9"/>
  <c r="K47" i="9" s="1"/>
  <c r="L47" i="9" s="1"/>
  <c r="H48" i="9" s="1"/>
  <c r="I47" i="4"/>
  <c r="J47" i="4" s="1"/>
  <c r="K47" i="4"/>
  <c r="G48" i="4" s="1"/>
  <c r="Q43" i="12" l="1"/>
  <c r="M44" i="12" s="1"/>
  <c r="H53" i="12"/>
  <c r="I53" i="12" s="1"/>
  <c r="J53" i="12" s="1"/>
  <c r="F54" i="12" s="1"/>
  <c r="E54" i="12"/>
  <c r="G52" i="11"/>
  <c r="H52" i="11" s="1"/>
  <c r="I52" i="11"/>
  <c r="E53" i="11" s="1"/>
  <c r="H38" i="6"/>
  <c r="E39" i="6" s="1"/>
  <c r="G39" i="6" s="1"/>
  <c r="J48" i="9"/>
  <c r="K48" i="9" s="1"/>
  <c r="L48" i="9" s="1"/>
  <c r="H49" i="9" s="1"/>
  <c r="K48" i="4"/>
  <c r="G49" i="4" s="1"/>
  <c r="I48" i="4"/>
  <c r="J48" i="4" s="1"/>
  <c r="O44" i="12" l="1"/>
  <c r="P44" i="12" s="1"/>
  <c r="Q44" i="12" s="1"/>
  <c r="M45" i="12" s="1"/>
  <c r="E55" i="12"/>
  <c r="H54" i="12"/>
  <c r="I54" i="12" s="1"/>
  <c r="J54" i="12" s="1"/>
  <c r="F55" i="12" s="1"/>
  <c r="G53" i="11"/>
  <c r="H53" i="11" s="1"/>
  <c r="I53" i="11" s="1"/>
  <c r="E54" i="11" s="1"/>
  <c r="H39" i="6"/>
  <c r="I39" i="6" s="1"/>
  <c r="E40" i="6" s="1"/>
  <c r="G40" i="6" s="1"/>
  <c r="J49" i="9"/>
  <c r="K49" i="9" s="1"/>
  <c r="L49" i="9" s="1"/>
  <c r="H50" i="9" s="1"/>
  <c r="I49" i="4"/>
  <c r="J49" i="4" s="1"/>
  <c r="K49" i="4" s="1"/>
  <c r="G50" i="4" s="1"/>
  <c r="O45" i="12" l="1"/>
  <c r="P45" i="12" s="1"/>
  <c r="H55" i="12"/>
  <c r="I55" i="12" s="1"/>
  <c r="J55" i="12" s="1"/>
  <c r="F56" i="12" s="1"/>
  <c r="E56" i="12"/>
  <c r="G54" i="11"/>
  <c r="H54" i="11" s="1"/>
  <c r="I54" i="11" s="1"/>
  <c r="E55" i="11" s="1"/>
  <c r="H40" i="6"/>
  <c r="I40" i="6" s="1"/>
  <c r="E41" i="6" s="1"/>
  <c r="G41" i="6" s="1"/>
  <c r="J50" i="9"/>
  <c r="K50" i="9" s="1"/>
  <c r="L50" i="9" s="1"/>
  <c r="H51" i="9" s="1"/>
  <c r="I50" i="4"/>
  <c r="J50" i="4" s="1"/>
  <c r="K50" i="4"/>
  <c r="G51" i="4" s="1"/>
  <c r="Q45" i="12" l="1"/>
  <c r="M46" i="12" s="1"/>
  <c r="E57" i="12"/>
  <c r="H56" i="12"/>
  <c r="I56" i="12" s="1"/>
  <c r="J56" i="12" s="1"/>
  <c r="F57" i="12" s="1"/>
  <c r="G55" i="11"/>
  <c r="H55" i="11" s="1"/>
  <c r="I55" i="11" s="1"/>
  <c r="E56" i="11" s="1"/>
  <c r="H41" i="6"/>
  <c r="I41" i="6" s="1"/>
  <c r="E42" i="6" s="1"/>
  <c r="G42" i="6" s="1"/>
  <c r="J51" i="9"/>
  <c r="K51" i="9" s="1"/>
  <c r="L51" i="9" s="1"/>
  <c r="H52" i="9" s="1"/>
  <c r="K51" i="4"/>
  <c r="G52" i="4" s="1"/>
  <c r="I51" i="4"/>
  <c r="J51" i="4" s="1"/>
  <c r="O46" i="12" l="1"/>
  <c r="P46" i="12" s="1"/>
  <c r="H57" i="12"/>
  <c r="I57" i="12" s="1"/>
  <c r="J57" i="12" s="1"/>
  <c r="F58" i="12" s="1"/>
  <c r="E58" i="12"/>
  <c r="G56" i="11"/>
  <c r="H56" i="11" s="1"/>
  <c r="I56" i="11" s="1"/>
  <c r="E57" i="11" s="1"/>
  <c r="H42" i="6"/>
  <c r="I42" i="6" s="1"/>
  <c r="E43" i="6" s="1"/>
  <c r="G43" i="6" s="1"/>
  <c r="J52" i="9"/>
  <c r="K52" i="9" s="1"/>
  <c r="L52" i="9" s="1"/>
  <c r="H53" i="9" s="1"/>
  <c r="I52" i="4"/>
  <c r="J52" i="4" s="1"/>
  <c r="K52" i="4" s="1"/>
  <c r="G53" i="4" s="1"/>
  <c r="Q46" i="12" l="1"/>
  <c r="M47" i="12" s="1"/>
  <c r="H58" i="12"/>
  <c r="I58" i="12" s="1"/>
  <c r="J58" i="12" s="1"/>
  <c r="F59" i="12" s="1"/>
  <c r="E59" i="12"/>
  <c r="G57" i="11"/>
  <c r="H57" i="11" s="1"/>
  <c r="I57" i="11"/>
  <c r="E58" i="11" s="1"/>
  <c r="H43" i="6"/>
  <c r="I43" i="6" s="1"/>
  <c r="E44" i="6" s="1"/>
  <c r="G44" i="6" s="1"/>
  <c r="J53" i="9"/>
  <c r="K53" i="9" s="1"/>
  <c r="L53" i="9" s="1"/>
  <c r="H54" i="9" s="1"/>
  <c r="I53" i="4"/>
  <c r="J53" i="4" s="1"/>
  <c r="K53" i="4" s="1"/>
  <c r="G54" i="4" s="1"/>
  <c r="O47" i="12" l="1"/>
  <c r="P47" i="12" s="1"/>
  <c r="E60" i="12"/>
  <c r="H59" i="12"/>
  <c r="I59" i="12" s="1"/>
  <c r="J59" i="12" s="1"/>
  <c r="F60" i="12" s="1"/>
  <c r="G58" i="11"/>
  <c r="H58" i="11" s="1"/>
  <c r="I58" i="11" s="1"/>
  <c r="E59" i="11" s="1"/>
  <c r="H44" i="6"/>
  <c r="I44" i="6" s="1"/>
  <c r="E45" i="6" s="1"/>
  <c r="J54" i="9"/>
  <c r="K54" i="9" s="1"/>
  <c r="L54" i="9" s="1"/>
  <c r="H55" i="9" s="1"/>
  <c r="I54" i="4"/>
  <c r="J54" i="4" s="1"/>
  <c r="K54" i="4" s="1"/>
  <c r="G55" i="4" s="1"/>
  <c r="Q47" i="12" l="1"/>
  <c r="M48" i="12" s="1"/>
  <c r="H60" i="12"/>
  <c r="I60" i="12" s="1"/>
  <c r="J60" i="12" s="1"/>
  <c r="F61" i="12" s="1"/>
  <c r="E61" i="12"/>
  <c r="G59" i="11"/>
  <c r="H59" i="11" s="1"/>
  <c r="I59" i="11" s="1"/>
  <c r="E60" i="11" s="1"/>
  <c r="G45" i="6"/>
  <c r="H45" i="6" s="1"/>
  <c r="I45" i="6" s="1"/>
  <c r="E46" i="6" s="1"/>
  <c r="J55" i="9"/>
  <c r="K55" i="9" s="1"/>
  <c r="L55" i="9" s="1"/>
  <c r="H56" i="9" s="1"/>
  <c r="I55" i="4"/>
  <c r="J55" i="4" s="1"/>
  <c r="K55" i="4"/>
  <c r="G56" i="4" s="1"/>
  <c r="O48" i="12" l="1"/>
  <c r="P48" i="12" s="1"/>
  <c r="E62" i="12"/>
  <c r="H62" i="12" s="1"/>
  <c r="I62" i="12" s="1"/>
  <c r="H61" i="12"/>
  <c r="I61" i="12" s="1"/>
  <c r="J61" i="12" s="1"/>
  <c r="F62" i="12" s="1"/>
  <c r="G60" i="11"/>
  <c r="H60" i="11" s="1"/>
  <c r="I60" i="11"/>
  <c r="E61" i="11" s="1"/>
  <c r="G46" i="6"/>
  <c r="H46" i="6" s="1"/>
  <c r="I46" i="6" s="1"/>
  <c r="E47" i="6" s="1"/>
  <c r="G47" i="6" s="1"/>
  <c r="J56" i="9"/>
  <c r="K56" i="9" s="1"/>
  <c r="L56" i="9" s="1"/>
  <c r="H57" i="9" s="1"/>
  <c r="I56" i="4"/>
  <c r="J56" i="4" s="1"/>
  <c r="K56" i="4" s="1"/>
  <c r="G57" i="4" s="1"/>
  <c r="Q48" i="12" l="1"/>
  <c r="M49" i="12" s="1"/>
  <c r="J62" i="12"/>
  <c r="G61" i="11"/>
  <c r="H61" i="11" s="1"/>
  <c r="I61" i="11" s="1"/>
  <c r="E62" i="11" s="1"/>
  <c r="H47" i="6"/>
  <c r="I47" i="6" s="1"/>
  <c r="E48" i="6" s="1"/>
  <c r="G48" i="6" s="1"/>
  <c r="J57" i="9"/>
  <c r="K57" i="9" s="1"/>
  <c r="L57" i="9" s="1"/>
  <c r="H58" i="9" s="1"/>
  <c r="I57" i="4"/>
  <c r="J57" i="4" s="1"/>
  <c r="K57" i="4" s="1"/>
  <c r="G58" i="4" s="1"/>
  <c r="O49" i="12" l="1"/>
  <c r="P49" i="12" s="1"/>
  <c r="Q49" i="12" s="1"/>
  <c r="M50" i="12" s="1"/>
  <c r="G62" i="11"/>
  <c r="H62" i="11" s="1"/>
  <c r="I62" i="11" s="1"/>
  <c r="E63" i="11" s="1"/>
  <c r="H48" i="6"/>
  <c r="I48" i="6" s="1"/>
  <c r="E49" i="6" s="1"/>
  <c r="G49" i="6" s="1"/>
  <c r="J58" i="9"/>
  <c r="K58" i="9" s="1"/>
  <c r="L58" i="9" s="1"/>
  <c r="H59" i="9" s="1"/>
  <c r="I58" i="4"/>
  <c r="J58" i="4" s="1"/>
  <c r="K58" i="4"/>
  <c r="G59" i="4" s="1"/>
  <c r="O50" i="12" l="1"/>
  <c r="P50" i="12" s="1"/>
  <c r="G63" i="11"/>
  <c r="H63" i="11" s="1"/>
  <c r="I63" i="11" s="1"/>
  <c r="E64" i="11" s="1"/>
  <c r="H49" i="6"/>
  <c r="I49" i="6" s="1"/>
  <c r="E50" i="6" s="1"/>
  <c r="J59" i="9"/>
  <c r="K59" i="9" s="1"/>
  <c r="L59" i="9" s="1"/>
  <c r="H60" i="9" s="1"/>
  <c r="I59" i="4"/>
  <c r="J59" i="4" s="1"/>
  <c r="K59" i="4" s="1"/>
  <c r="G60" i="4" s="1"/>
  <c r="Q50" i="12" l="1"/>
  <c r="M51" i="12" s="1"/>
  <c r="G64" i="11"/>
  <c r="H64" i="11" s="1"/>
  <c r="I64" i="11" s="1"/>
  <c r="E65" i="11" s="1"/>
  <c r="G50" i="6"/>
  <c r="H50" i="6" s="1"/>
  <c r="I50" i="6" s="1"/>
  <c r="E51" i="6" s="1"/>
  <c r="G51" i="6" s="1"/>
  <c r="J60" i="9"/>
  <c r="K60" i="9" s="1"/>
  <c r="L60" i="9" s="1"/>
  <c r="H61" i="9" s="1"/>
  <c r="K60" i="4"/>
  <c r="G61" i="4" s="1"/>
  <c r="I60" i="4"/>
  <c r="J60" i="4" s="1"/>
  <c r="O51" i="12" l="1"/>
  <c r="P51" i="12" s="1"/>
  <c r="G65" i="11"/>
  <c r="H65" i="11" s="1"/>
  <c r="I65" i="11" s="1"/>
  <c r="E66" i="11" s="1"/>
  <c r="H51" i="6"/>
  <c r="I51" i="6" s="1"/>
  <c r="E52" i="6" s="1"/>
  <c r="G52" i="6" s="1"/>
  <c r="J61" i="9"/>
  <c r="K61" i="9" s="1"/>
  <c r="L61" i="9" s="1"/>
  <c r="H62" i="9" s="1"/>
  <c r="I61" i="4"/>
  <c r="J61" i="4" s="1"/>
  <c r="K61" i="4" s="1"/>
  <c r="G62" i="4" s="1"/>
  <c r="Q51" i="12" l="1"/>
  <c r="M52" i="12" s="1"/>
  <c r="G66" i="11"/>
  <c r="H66" i="11" s="1"/>
  <c r="I66" i="11" s="1"/>
  <c r="E67" i="11" s="1"/>
  <c r="H52" i="6"/>
  <c r="I52" i="6" s="1"/>
  <c r="E53" i="6" s="1"/>
  <c r="G53" i="6" s="1"/>
  <c r="J62" i="9"/>
  <c r="K62" i="9" s="1"/>
  <c r="L62" i="9" s="1"/>
  <c r="H63" i="9" s="1"/>
  <c r="J63" i="9" s="1"/>
  <c r="I62" i="4"/>
  <c r="J62" i="4" s="1"/>
  <c r="K62" i="4"/>
  <c r="G63" i="4" s="1"/>
  <c r="O52" i="12" l="1"/>
  <c r="P52" i="12" s="1"/>
  <c r="G67" i="11"/>
  <c r="H67" i="11" s="1"/>
  <c r="I67" i="11" s="1"/>
  <c r="E68" i="11" s="1"/>
  <c r="H53" i="6"/>
  <c r="I53" i="6" s="1"/>
  <c r="E54" i="6" s="1"/>
  <c r="G54" i="6" s="1"/>
  <c r="K63" i="9"/>
  <c r="L63" i="9" s="1"/>
  <c r="H64" i="9" s="1"/>
  <c r="G64" i="4"/>
  <c r="Q52" i="12" l="1"/>
  <c r="M53" i="12" s="1"/>
  <c r="G68" i="11"/>
  <c r="H68" i="11" s="1"/>
  <c r="I68" i="11"/>
  <c r="E69" i="11" s="1"/>
  <c r="H54" i="6"/>
  <c r="I54" i="6" s="1"/>
  <c r="E55" i="6" s="1"/>
  <c r="G55" i="6" s="1"/>
  <c r="K64" i="9"/>
  <c r="L64" i="9" s="1"/>
  <c r="H65" i="9" s="1"/>
  <c r="J65" i="9" s="1"/>
  <c r="J64" i="4"/>
  <c r="K64" i="4" s="1"/>
  <c r="G65" i="4" s="1"/>
  <c r="I65" i="4" s="1"/>
  <c r="O53" i="12" l="1"/>
  <c r="P53" i="12" s="1"/>
  <c r="Q53" i="12" s="1"/>
  <c r="M54" i="12" s="1"/>
  <c r="G69" i="11"/>
  <c r="H69" i="11" s="1"/>
  <c r="I69" i="11" s="1"/>
  <c r="E70" i="11" s="1"/>
  <c r="H55" i="6"/>
  <c r="I55" i="6" s="1"/>
  <c r="E56" i="6" s="1"/>
  <c r="K65" i="9"/>
  <c r="L65" i="9" s="1"/>
  <c r="H66" i="9" s="1"/>
  <c r="J66" i="9" s="1"/>
  <c r="J65" i="4"/>
  <c r="K65" i="4" s="1"/>
  <c r="G66" i="4" s="1"/>
  <c r="I66" i="4" s="1"/>
  <c r="O54" i="12" l="1"/>
  <c r="P54" i="12" s="1"/>
  <c r="G70" i="11"/>
  <c r="H70" i="11" s="1"/>
  <c r="I70" i="11" s="1"/>
  <c r="E71" i="11" s="1"/>
  <c r="G56" i="6"/>
  <c r="H56" i="6" s="1"/>
  <c r="I56" i="6" s="1"/>
  <c r="E57" i="6" s="1"/>
  <c r="G57" i="6" s="1"/>
  <c r="K66" i="9"/>
  <c r="L66" i="9" s="1"/>
  <c r="H67" i="9" s="1"/>
  <c r="J67" i="9" s="1"/>
  <c r="J66" i="4"/>
  <c r="K66" i="4" s="1"/>
  <c r="G67" i="4" s="1"/>
  <c r="I67" i="4" s="1"/>
  <c r="Q54" i="12" l="1"/>
  <c r="M55" i="12" s="1"/>
  <c r="G71" i="11"/>
  <c r="H71" i="11" s="1"/>
  <c r="I71" i="11" s="1"/>
  <c r="E72" i="11" s="1"/>
  <c r="H57" i="6"/>
  <c r="I57" i="6" s="1"/>
  <c r="E58" i="6" s="1"/>
  <c r="G58" i="6" s="1"/>
  <c r="K67" i="9"/>
  <c r="L67" i="9" s="1"/>
  <c r="H68" i="9" s="1"/>
  <c r="J68" i="9" s="1"/>
  <c r="J67" i="4"/>
  <c r="K67" i="4" s="1"/>
  <c r="G68" i="4" s="1"/>
  <c r="I68" i="4" s="1"/>
  <c r="O55" i="12" l="1"/>
  <c r="P55" i="12" s="1"/>
  <c r="G72" i="11"/>
  <c r="H72" i="11" s="1"/>
  <c r="I72" i="11" s="1"/>
  <c r="E73" i="11" s="1"/>
  <c r="H58" i="6"/>
  <c r="I58" i="6" s="1"/>
  <c r="E59" i="6" s="1"/>
  <c r="G59" i="6" s="1"/>
  <c r="K68" i="9"/>
  <c r="L68" i="9" s="1"/>
  <c r="H69" i="9" s="1"/>
  <c r="J69" i="9" s="1"/>
  <c r="J68" i="4"/>
  <c r="K68" i="4" s="1"/>
  <c r="G69" i="4" s="1"/>
  <c r="I69" i="4" s="1"/>
  <c r="Q55" i="12" l="1"/>
  <c r="M56" i="12" s="1"/>
  <c r="G73" i="11"/>
  <c r="H73" i="11" s="1"/>
  <c r="I73" i="11"/>
  <c r="E74" i="11" s="1"/>
  <c r="H59" i="6"/>
  <c r="I59" i="6" s="1"/>
  <c r="E60" i="6" s="1"/>
  <c r="G60" i="6" s="1"/>
  <c r="K69" i="9"/>
  <c r="L69" i="9" s="1"/>
  <c r="H70" i="9" s="1"/>
  <c r="J70" i="9" s="1"/>
  <c r="J69" i="4"/>
  <c r="K69" i="4" s="1"/>
  <c r="G70" i="4" s="1"/>
  <c r="I70" i="4" s="1"/>
  <c r="O56" i="12" l="1"/>
  <c r="P56" i="12" s="1"/>
  <c r="G74" i="11"/>
  <c r="H74" i="11" s="1"/>
  <c r="I74" i="11" s="1"/>
  <c r="E75" i="11" s="1"/>
  <c r="H60" i="6"/>
  <c r="I60" i="6" s="1"/>
  <c r="E61" i="6" s="1"/>
  <c r="G61" i="6" s="1"/>
  <c r="K70" i="9"/>
  <c r="L70" i="9" s="1"/>
  <c r="H71" i="9" s="1"/>
  <c r="J71" i="9" s="1"/>
  <c r="J70" i="4"/>
  <c r="K70" i="4" s="1"/>
  <c r="G71" i="4" s="1"/>
  <c r="I71" i="4" s="1"/>
  <c r="Q56" i="12" l="1"/>
  <c r="M57" i="12" s="1"/>
  <c r="G75" i="11"/>
  <c r="H75" i="11" s="1"/>
  <c r="I75" i="11" s="1"/>
  <c r="E76" i="11" s="1"/>
  <c r="H61" i="6"/>
  <c r="I61" i="6" s="1"/>
  <c r="E62" i="6" s="1"/>
  <c r="G62" i="6" s="1"/>
  <c r="K71" i="9"/>
  <c r="L71" i="9" s="1"/>
  <c r="H72" i="9" s="1"/>
  <c r="J72" i="9" s="1"/>
  <c r="J71" i="4"/>
  <c r="K71" i="4" s="1"/>
  <c r="G72" i="4" s="1"/>
  <c r="I72" i="4" s="1"/>
  <c r="O57" i="12" l="1"/>
  <c r="P57" i="12" s="1"/>
  <c r="Q57" i="12" s="1"/>
  <c r="M58" i="12" s="1"/>
  <c r="G76" i="11"/>
  <c r="H76" i="11" s="1"/>
  <c r="I76" i="11"/>
  <c r="E77" i="11" s="1"/>
  <c r="H62" i="6"/>
  <c r="I62" i="6" s="1"/>
  <c r="E63" i="6" s="1"/>
  <c r="G63" i="6" s="1"/>
  <c r="H63" i="6" s="1"/>
  <c r="K72" i="9"/>
  <c r="L72" i="9" s="1"/>
  <c r="H73" i="9" s="1"/>
  <c r="J73" i="9" s="1"/>
  <c r="J72" i="4"/>
  <c r="K72" i="4" s="1"/>
  <c r="G73" i="4" s="1"/>
  <c r="I73" i="4" s="1"/>
  <c r="O58" i="12" l="1"/>
  <c r="P58" i="12" s="1"/>
  <c r="G77" i="11"/>
  <c r="H77" i="11" s="1"/>
  <c r="I77" i="11" s="1"/>
  <c r="E78" i="11" s="1"/>
  <c r="I63" i="6"/>
  <c r="K73" i="9"/>
  <c r="L73" i="9" s="1"/>
  <c r="H74" i="9" s="1"/>
  <c r="J74" i="9" s="1"/>
  <c r="J73" i="4"/>
  <c r="K73" i="4" s="1"/>
  <c r="G74" i="4" s="1"/>
  <c r="I74" i="4" s="1"/>
  <c r="Q58" i="12" l="1"/>
  <c r="M59" i="12" s="1"/>
  <c r="G78" i="11"/>
  <c r="H78" i="11" s="1"/>
  <c r="I78" i="11" s="1"/>
  <c r="E79" i="11" s="1"/>
  <c r="E64" i="6"/>
  <c r="K74" i="9"/>
  <c r="L74" i="9" s="1"/>
  <c r="H75" i="9" s="1"/>
  <c r="J75" i="9" s="1"/>
  <c r="J74" i="4"/>
  <c r="K74" i="4" s="1"/>
  <c r="G75" i="4" s="1"/>
  <c r="I75" i="4" s="1"/>
  <c r="O59" i="12" l="1"/>
  <c r="P59" i="12" s="1"/>
  <c r="G79" i="11"/>
  <c r="H79" i="11" s="1"/>
  <c r="I79" i="11" s="1"/>
  <c r="E80" i="11" s="1"/>
  <c r="G64" i="6"/>
  <c r="H64" i="6" s="1"/>
  <c r="I64" i="6"/>
  <c r="K75" i="9"/>
  <c r="L75" i="9" s="1"/>
  <c r="H76" i="9" s="1"/>
  <c r="J76" i="9" s="1"/>
  <c r="J75" i="4"/>
  <c r="K75" i="4" s="1"/>
  <c r="G76" i="4" s="1"/>
  <c r="I76" i="4" s="1"/>
  <c r="Q59" i="12" l="1"/>
  <c r="M60" i="12" s="1"/>
  <c r="G80" i="11"/>
  <c r="H80" i="11" s="1"/>
  <c r="I80" i="11" s="1"/>
  <c r="E81" i="11" s="1"/>
  <c r="E65" i="6"/>
  <c r="G65" i="6" s="1"/>
  <c r="H65" i="6" s="1"/>
  <c r="K76" i="9"/>
  <c r="L76" i="9" s="1"/>
  <c r="H77" i="9" s="1"/>
  <c r="J77" i="9" s="1"/>
  <c r="J76" i="4"/>
  <c r="K76" i="4" s="1"/>
  <c r="G77" i="4" s="1"/>
  <c r="I77" i="4" s="1"/>
  <c r="O60" i="12" l="1"/>
  <c r="P60" i="12" s="1"/>
  <c r="G81" i="11"/>
  <c r="H81" i="11" s="1"/>
  <c r="I81" i="11" s="1"/>
  <c r="E82" i="11" s="1"/>
  <c r="I65" i="6"/>
  <c r="K77" i="9"/>
  <c r="L77" i="9" s="1"/>
  <c r="H78" i="9" s="1"/>
  <c r="J78" i="9" s="1"/>
  <c r="J77" i="4"/>
  <c r="K77" i="4" s="1"/>
  <c r="G78" i="4" s="1"/>
  <c r="I78" i="4" s="1"/>
  <c r="Q60" i="12" l="1"/>
  <c r="M61" i="12" s="1"/>
  <c r="G82" i="11"/>
  <c r="H82" i="11" s="1"/>
  <c r="I82" i="11" s="1"/>
  <c r="E83" i="11" s="1"/>
  <c r="E66" i="6"/>
  <c r="K78" i="9"/>
  <c r="L78" i="9" s="1"/>
  <c r="H79" i="9" s="1"/>
  <c r="J79" i="9" s="1"/>
  <c r="J78" i="4"/>
  <c r="K78" i="4" s="1"/>
  <c r="G79" i="4" s="1"/>
  <c r="I79" i="4" s="1"/>
  <c r="O61" i="12" l="1"/>
  <c r="P61" i="12" s="1"/>
  <c r="Q61" i="12" s="1"/>
  <c r="M62" i="12" s="1"/>
  <c r="G83" i="11"/>
  <c r="H83" i="11" s="1"/>
  <c r="I83" i="11" s="1"/>
  <c r="E84" i="11" s="1"/>
  <c r="G66" i="6"/>
  <c r="H66" i="6" s="1"/>
  <c r="I66" i="6"/>
  <c r="K79" i="9"/>
  <c r="L79" i="9" s="1"/>
  <c r="H80" i="9" s="1"/>
  <c r="J80" i="9" s="1"/>
  <c r="J79" i="4"/>
  <c r="K79" i="4" s="1"/>
  <c r="G80" i="4" s="1"/>
  <c r="I80" i="4" s="1"/>
  <c r="O62" i="12" l="1"/>
  <c r="P62" i="12" s="1"/>
  <c r="Q62" i="12" s="1"/>
  <c r="M63" i="12" s="1"/>
  <c r="G84" i="11"/>
  <c r="H84" i="11" s="1"/>
  <c r="I84" i="11"/>
  <c r="E85" i="11" s="1"/>
  <c r="E67" i="6"/>
  <c r="K80" i="9"/>
  <c r="L80" i="9" s="1"/>
  <c r="H81" i="9" s="1"/>
  <c r="J81" i="9" s="1"/>
  <c r="J80" i="4"/>
  <c r="K80" i="4" s="1"/>
  <c r="G81" i="4" s="1"/>
  <c r="I81" i="4" s="1"/>
  <c r="O63" i="12" l="1"/>
  <c r="P63" i="12" s="1"/>
  <c r="G85" i="11"/>
  <c r="H85" i="11" s="1"/>
  <c r="I85" i="11" s="1"/>
  <c r="E86" i="11" s="1"/>
  <c r="G67" i="6"/>
  <c r="H67" i="6" s="1"/>
  <c r="I67" i="6" s="1"/>
  <c r="K81" i="9"/>
  <c r="L81" i="9" s="1"/>
  <c r="H82" i="9" s="1"/>
  <c r="J82" i="9" s="1"/>
  <c r="J81" i="4"/>
  <c r="K81" i="4" s="1"/>
  <c r="G82" i="4" s="1"/>
  <c r="I82" i="4" s="1"/>
  <c r="Q63" i="12" l="1"/>
  <c r="M64" i="12" s="1"/>
  <c r="G86" i="11"/>
  <c r="H86" i="11" s="1"/>
  <c r="I86" i="11" s="1"/>
  <c r="E87" i="11" s="1"/>
  <c r="E68" i="6"/>
  <c r="G68" i="6" s="1"/>
  <c r="H68" i="6" s="1"/>
  <c r="K82" i="9"/>
  <c r="L82" i="9" s="1"/>
  <c r="H83" i="9" s="1"/>
  <c r="J83" i="9" s="1"/>
  <c r="J82" i="4"/>
  <c r="K82" i="4" s="1"/>
  <c r="G83" i="4" s="1"/>
  <c r="I83" i="4" s="1"/>
  <c r="O64" i="12" l="1"/>
  <c r="P64" i="12" s="1"/>
  <c r="G87" i="11"/>
  <c r="H87" i="11" s="1"/>
  <c r="I87" i="11" s="1"/>
  <c r="E88" i="11" s="1"/>
  <c r="I68" i="6"/>
  <c r="K83" i="9"/>
  <c r="L83" i="9" s="1"/>
  <c r="H84" i="9" s="1"/>
  <c r="J84" i="9" s="1"/>
  <c r="J83" i="4"/>
  <c r="K83" i="4"/>
  <c r="G84" i="4" s="1"/>
  <c r="I84" i="4" s="1"/>
  <c r="Q64" i="12" l="1"/>
  <c r="M65" i="12" s="1"/>
  <c r="G88" i="11"/>
  <c r="H88" i="11" s="1"/>
  <c r="I88" i="11" s="1"/>
  <c r="E89" i="11" s="1"/>
  <c r="E69" i="6"/>
  <c r="G69" i="6" s="1"/>
  <c r="H69" i="6" s="1"/>
  <c r="K84" i="9"/>
  <c r="L84" i="9" s="1"/>
  <c r="H85" i="9" s="1"/>
  <c r="J85" i="9" s="1"/>
  <c r="J84" i="4"/>
  <c r="K84" i="4" s="1"/>
  <c r="G85" i="4" s="1"/>
  <c r="I85" i="4" s="1"/>
  <c r="O65" i="12" l="1"/>
  <c r="P65" i="12" s="1"/>
  <c r="Q65" i="12" s="1"/>
  <c r="M66" i="12" s="1"/>
  <c r="G89" i="11"/>
  <c r="H89" i="11" s="1"/>
  <c r="I89" i="11" s="1"/>
  <c r="E90" i="11" s="1"/>
  <c r="I69" i="6"/>
  <c r="K85" i="9"/>
  <c r="L85" i="9" s="1"/>
  <c r="H86" i="9" s="1"/>
  <c r="J86" i="9" s="1"/>
  <c r="J85" i="4"/>
  <c r="K85" i="4" s="1"/>
  <c r="G86" i="4" s="1"/>
  <c r="I86" i="4" s="1"/>
  <c r="O66" i="12" l="1"/>
  <c r="P66" i="12" s="1"/>
  <c r="Q66" i="12" s="1"/>
  <c r="M67" i="12" s="1"/>
  <c r="G90" i="11"/>
  <c r="H90" i="11" s="1"/>
  <c r="I90" i="11" s="1"/>
  <c r="E91" i="11" s="1"/>
  <c r="E70" i="6"/>
  <c r="K86" i="9"/>
  <c r="L86" i="9" s="1"/>
  <c r="H87" i="9" s="1"/>
  <c r="J87" i="9" s="1"/>
  <c r="J86" i="4"/>
  <c r="K86" i="4" s="1"/>
  <c r="G87" i="4" s="1"/>
  <c r="I87" i="4" s="1"/>
  <c r="O67" i="12" l="1"/>
  <c r="P67" i="12" s="1"/>
  <c r="G91" i="11"/>
  <c r="H91" i="11" s="1"/>
  <c r="I91" i="11" s="1"/>
  <c r="E92" i="11" s="1"/>
  <c r="G70" i="6"/>
  <c r="H70" i="6" s="1"/>
  <c r="I70" i="6"/>
  <c r="K87" i="9"/>
  <c r="L87" i="9" s="1"/>
  <c r="H88" i="9" s="1"/>
  <c r="J88" i="9" s="1"/>
  <c r="J87" i="4"/>
  <c r="K87" i="4" s="1"/>
  <c r="G88" i="4" s="1"/>
  <c r="I88" i="4" s="1"/>
  <c r="Q67" i="12" l="1"/>
  <c r="M68" i="12" s="1"/>
  <c r="G92" i="11"/>
  <c r="H92" i="11" s="1"/>
  <c r="I92" i="11"/>
  <c r="E93" i="11" s="1"/>
  <c r="E71" i="6"/>
  <c r="G71" i="6" s="1"/>
  <c r="H71" i="6" s="1"/>
  <c r="K88" i="9"/>
  <c r="L88" i="9" s="1"/>
  <c r="H89" i="9" s="1"/>
  <c r="J89" i="9" s="1"/>
  <c r="J88" i="4"/>
  <c r="K88" i="4" s="1"/>
  <c r="G89" i="4" s="1"/>
  <c r="I89" i="4" s="1"/>
  <c r="O68" i="12" l="1"/>
  <c r="P68" i="12" s="1"/>
  <c r="G93" i="11"/>
  <c r="H93" i="11" s="1"/>
  <c r="I93" i="11" s="1"/>
  <c r="E94" i="11" s="1"/>
  <c r="I71" i="6"/>
  <c r="K89" i="9"/>
  <c r="L89" i="9" s="1"/>
  <c r="H90" i="9" s="1"/>
  <c r="J90" i="9" s="1"/>
  <c r="J89" i="4"/>
  <c r="K89" i="4" s="1"/>
  <c r="G90" i="4" s="1"/>
  <c r="I90" i="4" s="1"/>
  <c r="Q68" i="12" l="1"/>
  <c r="M69" i="12" s="1"/>
  <c r="G94" i="11"/>
  <c r="H94" i="11" s="1"/>
  <c r="I94" i="11" s="1"/>
  <c r="E95" i="11" s="1"/>
  <c r="E72" i="6"/>
  <c r="G72" i="6" s="1"/>
  <c r="K90" i="9"/>
  <c r="L90" i="9" s="1"/>
  <c r="H91" i="9" s="1"/>
  <c r="J91" i="9" s="1"/>
  <c r="J90" i="4"/>
  <c r="K90" i="4" s="1"/>
  <c r="G91" i="4" s="1"/>
  <c r="I91" i="4" s="1"/>
  <c r="O69" i="12" l="1"/>
  <c r="P69" i="12" s="1"/>
  <c r="Q69" i="12" s="1"/>
  <c r="M70" i="12" s="1"/>
  <c r="G95" i="11"/>
  <c r="H95" i="11" s="1"/>
  <c r="I95" i="11" s="1"/>
  <c r="E96" i="11" s="1"/>
  <c r="H72" i="6"/>
  <c r="I72" i="6" s="1"/>
  <c r="E73" i="6" s="1"/>
  <c r="G73" i="6" s="1"/>
  <c r="H73" i="6" s="1"/>
  <c r="K91" i="9"/>
  <c r="L91" i="9" s="1"/>
  <c r="H92" i="9" s="1"/>
  <c r="J92" i="9" s="1"/>
  <c r="J91" i="4"/>
  <c r="K91" i="4" s="1"/>
  <c r="G92" i="4" s="1"/>
  <c r="I92" i="4" s="1"/>
  <c r="O70" i="12" l="1"/>
  <c r="P70" i="12" s="1"/>
  <c r="Q70" i="12" s="1"/>
  <c r="M71" i="12" s="1"/>
  <c r="G96" i="11"/>
  <c r="H96" i="11" s="1"/>
  <c r="I96" i="11" s="1"/>
  <c r="E97" i="11" s="1"/>
  <c r="I73" i="6"/>
  <c r="K92" i="9"/>
  <c r="L92" i="9" s="1"/>
  <c r="H93" i="9" s="1"/>
  <c r="J93" i="9" s="1"/>
  <c r="J92" i="4"/>
  <c r="K92" i="4" s="1"/>
  <c r="G93" i="4" s="1"/>
  <c r="I93" i="4" s="1"/>
  <c r="O71" i="12" l="1"/>
  <c r="P71" i="12" s="1"/>
  <c r="G97" i="11"/>
  <c r="H97" i="11" s="1"/>
  <c r="I97" i="11" s="1"/>
  <c r="E98" i="11" s="1"/>
  <c r="E74" i="6"/>
  <c r="G74" i="6" s="1"/>
  <c r="K93" i="9"/>
  <c r="L93" i="9" s="1"/>
  <c r="H94" i="9" s="1"/>
  <c r="J94" i="9" s="1"/>
  <c r="J93" i="4"/>
  <c r="K93" i="4" s="1"/>
  <c r="G94" i="4" s="1"/>
  <c r="I94" i="4" s="1"/>
  <c r="Q71" i="12" l="1"/>
  <c r="M72" i="12" s="1"/>
  <c r="G98" i="11"/>
  <c r="H98" i="11" s="1"/>
  <c r="I98" i="11" s="1"/>
  <c r="E99" i="11" s="1"/>
  <c r="H74" i="6"/>
  <c r="I74" i="6" s="1"/>
  <c r="E75" i="6" s="1"/>
  <c r="G75" i="6" s="1"/>
  <c r="K94" i="9"/>
  <c r="L94" i="9" s="1"/>
  <c r="H95" i="9" s="1"/>
  <c r="J95" i="9" s="1"/>
  <c r="J94" i="4"/>
  <c r="K94" i="4" s="1"/>
  <c r="G95" i="4" s="1"/>
  <c r="I95" i="4" s="1"/>
  <c r="O72" i="12" l="1"/>
  <c r="P72" i="12" s="1"/>
  <c r="G99" i="11"/>
  <c r="H99" i="11" s="1"/>
  <c r="I99" i="11" s="1"/>
  <c r="E100" i="11" s="1"/>
  <c r="H75" i="6"/>
  <c r="I75" i="6" s="1"/>
  <c r="E76" i="6" s="1"/>
  <c r="G76" i="6" s="1"/>
  <c r="H76" i="6" s="1"/>
  <c r="K95" i="9"/>
  <c r="L95" i="9" s="1"/>
  <c r="H96" i="9" s="1"/>
  <c r="J96" i="9" s="1"/>
  <c r="J95" i="4"/>
  <c r="K95" i="4" s="1"/>
  <c r="G96" i="4" s="1"/>
  <c r="I96" i="4" s="1"/>
  <c r="Q72" i="12" l="1"/>
  <c r="M73" i="12" s="1"/>
  <c r="G100" i="11"/>
  <c r="H100" i="11" s="1"/>
  <c r="I100" i="11" s="1"/>
  <c r="E101" i="11" s="1"/>
  <c r="I76" i="6"/>
  <c r="K96" i="9"/>
  <c r="L96" i="9" s="1"/>
  <c r="H97" i="9" s="1"/>
  <c r="J97" i="9" s="1"/>
  <c r="J96" i="4"/>
  <c r="K96" i="4" s="1"/>
  <c r="G97" i="4" s="1"/>
  <c r="I97" i="4" s="1"/>
  <c r="O73" i="12" l="1"/>
  <c r="P73" i="12" s="1"/>
  <c r="Q73" i="12" s="1"/>
  <c r="M74" i="12" s="1"/>
  <c r="G101" i="11"/>
  <c r="H101" i="11" s="1"/>
  <c r="I101" i="11" s="1"/>
  <c r="E102" i="11" s="1"/>
  <c r="E77" i="6"/>
  <c r="G77" i="6" s="1"/>
  <c r="K97" i="9"/>
  <c r="L97" i="9" s="1"/>
  <c r="H98" i="9" s="1"/>
  <c r="J98" i="9" s="1"/>
  <c r="J97" i="4"/>
  <c r="K97" i="4" s="1"/>
  <c r="G98" i="4" s="1"/>
  <c r="I98" i="4" s="1"/>
  <c r="Q74" i="12" l="1"/>
  <c r="M75" i="12" s="1"/>
  <c r="O74" i="12"/>
  <c r="P74" i="12" s="1"/>
  <c r="G102" i="11"/>
  <c r="H102" i="11" s="1"/>
  <c r="I102" i="11" s="1"/>
  <c r="E103" i="11" s="1"/>
  <c r="H77" i="6"/>
  <c r="I77" i="6" s="1"/>
  <c r="E78" i="6" s="1"/>
  <c r="G78" i="6" s="1"/>
  <c r="H78" i="6" s="1"/>
  <c r="K98" i="9"/>
  <c r="L98" i="9" s="1"/>
  <c r="H99" i="9" s="1"/>
  <c r="J99" i="9" s="1"/>
  <c r="J98" i="4"/>
  <c r="K98" i="4" s="1"/>
  <c r="G99" i="4" s="1"/>
  <c r="I99" i="4" s="1"/>
  <c r="Q75" i="12" l="1"/>
  <c r="O75" i="12"/>
  <c r="P75" i="12" s="1"/>
  <c r="G103" i="11"/>
  <c r="H103" i="11" s="1"/>
  <c r="I103" i="11" s="1"/>
  <c r="E104" i="11" s="1"/>
  <c r="I78" i="6"/>
  <c r="K99" i="9"/>
  <c r="L99" i="9" s="1"/>
  <c r="H100" i="9" s="1"/>
  <c r="J100" i="9" s="1"/>
  <c r="J99" i="4"/>
  <c r="K99" i="4" s="1"/>
  <c r="G100" i="4" s="1"/>
  <c r="I100" i="4" s="1"/>
  <c r="G104" i="11" l="1"/>
  <c r="H104" i="11" s="1"/>
  <c r="I104" i="11" s="1"/>
  <c r="E105" i="11" s="1"/>
  <c r="E79" i="6"/>
  <c r="G79" i="6" s="1"/>
  <c r="K100" i="9"/>
  <c r="L100" i="9" s="1"/>
  <c r="H101" i="9" s="1"/>
  <c r="J101" i="9" s="1"/>
  <c r="J100" i="4"/>
  <c r="K100" i="4" s="1"/>
  <c r="G101" i="4" s="1"/>
  <c r="I101" i="4" s="1"/>
  <c r="G105" i="11" l="1"/>
  <c r="H105" i="11" s="1"/>
  <c r="I105" i="11" s="1"/>
  <c r="E106" i="11" s="1"/>
  <c r="H79" i="6"/>
  <c r="I79" i="6" s="1"/>
  <c r="E80" i="6" s="1"/>
  <c r="G80" i="6" s="1"/>
  <c r="H80" i="6" s="1"/>
  <c r="K101" i="9"/>
  <c r="L101" i="9" s="1"/>
  <c r="H102" i="9" s="1"/>
  <c r="J102" i="9" s="1"/>
  <c r="J101" i="4"/>
  <c r="K101" i="4" s="1"/>
  <c r="G102" i="4" s="1"/>
  <c r="I102" i="4" s="1"/>
  <c r="G106" i="11" l="1"/>
  <c r="H106" i="11" s="1"/>
  <c r="I106" i="11" s="1"/>
  <c r="E107" i="11" s="1"/>
  <c r="I80" i="6"/>
  <c r="K102" i="9"/>
  <c r="L102" i="9" s="1"/>
  <c r="H103" i="9" s="1"/>
  <c r="J103" i="9" s="1"/>
  <c r="J102" i="4"/>
  <c r="K102" i="4" s="1"/>
  <c r="G103" i="4" s="1"/>
  <c r="I103" i="4" s="1"/>
  <c r="G107" i="11" l="1"/>
  <c r="H107" i="11" s="1"/>
  <c r="I107" i="11" s="1"/>
  <c r="E108" i="11" s="1"/>
  <c r="E81" i="6"/>
  <c r="G81" i="6" s="1"/>
  <c r="H81" i="6" s="1"/>
  <c r="K103" i="9"/>
  <c r="L103" i="9" s="1"/>
  <c r="H104" i="9" s="1"/>
  <c r="J104" i="9" s="1"/>
  <c r="J103" i="4"/>
  <c r="K103" i="4" s="1"/>
  <c r="G104" i="4" s="1"/>
  <c r="I104" i="4" s="1"/>
  <c r="G108" i="11" l="1"/>
  <c r="H108" i="11" s="1"/>
  <c r="I108" i="11" s="1"/>
  <c r="E109" i="11" s="1"/>
  <c r="I81" i="6"/>
  <c r="K104" i="9"/>
  <c r="L104" i="9" s="1"/>
  <c r="H105" i="9" s="1"/>
  <c r="J105" i="9" s="1"/>
  <c r="J104" i="4"/>
  <c r="K104" i="4" s="1"/>
  <c r="G105" i="4" s="1"/>
  <c r="I105" i="4" s="1"/>
  <c r="G109" i="11" l="1"/>
  <c r="H109" i="11" s="1"/>
  <c r="I109" i="11" s="1"/>
  <c r="E110" i="11" s="1"/>
  <c r="E82" i="6"/>
  <c r="G82" i="6" s="1"/>
  <c r="H82" i="6" s="1"/>
  <c r="K105" i="9"/>
  <c r="L105" i="9" s="1"/>
  <c r="H106" i="9" s="1"/>
  <c r="J106" i="9" s="1"/>
  <c r="J105" i="4"/>
  <c r="K105" i="4" s="1"/>
  <c r="G106" i="4" s="1"/>
  <c r="I106" i="4" s="1"/>
  <c r="G110" i="11" l="1"/>
  <c r="H110" i="11" s="1"/>
  <c r="I110" i="11" s="1"/>
  <c r="E111" i="11" s="1"/>
  <c r="I82" i="6"/>
  <c r="K106" i="9"/>
  <c r="L106" i="9" s="1"/>
  <c r="H107" i="9" s="1"/>
  <c r="J107" i="9" s="1"/>
  <c r="J106" i="4"/>
  <c r="K106" i="4" s="1"/>
  <c r="G107" i="4" s="1"/>
  <c r="I107" i="4" s="1"/>
  <c r="G111" i="11" l="1"/>
  <c r="H111" i="11" s="1"/>
  <c r="I111" i="11" s="1"/>
  <c r="E112" i="11" s="1"/>
  <c r="E83" i="6"/>
  <c r="G83" i="6" s="1"/>
  <c r="K107" i="9"/>
  <c r="L107" i="9" s="1"/>
  <c r="H108" i="9" s="1"/>
  <c r="J108" i="9" s="1"/>
  <c r="J107" i="4"/>
  <c r="K107" i="4" s="1"/>
  <c r="G108" i="4" s="1"/>
  <c r="I108" i="4" s="1"/>
  <c r="G112" i="11" l="1"/>
  <c r="H112" i="11" s="1"/>
  <c r="I112" i="11" s="1"/>
  <c r="E113" i="11" s="1"/>
  <c r="H83" i="6"/>
  <c r="I83" i="6" s="1"/>
  <c r="E84" i="6" s="1"/>
  <c r="K108" i="9"/>
  <c r="L108" i="9" s="1"/>
  <c r="H109" i="9" s="1"/>
  <c r="J109" i="9" s="1"/>
  <c r="J108" i="4"/>
  <c r="K108" i="4" s="1"/>
  <c r="G109" i="4" s="1"/>
  <c r="I109" i="4" s="1"/>
  <c r="G113" i="11" l="1"/>
  <c r="H113" i="11" s="1"/>
  <c r="I113" i="11" s="1"/>
  <c r="E114" i="11" s="1"/>
  <c r="G84" i="6"/>
  <c r="H84" i="6" s="1"/>
  <c r="I84" i="6" s="1"/>
  <c r="K109" i="9"/>
  <c r="L109" i="9" s="1"/>
  <c r="H110" i="9" s="1"/>
  <c r="J110" i="9" s="1"/>
  <c r="J109" i="4"/>
  <c r="K109" i="4" s="1"/>
  <c r="G110" i="4" s="1"/>
  <c r="I110" i="4" s="1"/>
  <c r="G114" i="11" l="1"/>
  <c r="H114" i="11" s="1"/>
  <c r="I114" i="11" s="1"/>
  <c r="E115" i="11" s="1"/>
  <c r="E85" i="6"/>
  <c r="G85" i="6" s="1"/>
  <c r="K110" i="9"/>
  <c r="L110" i="9" s="1"/>
  <c r="H111" i="9" s="1"/>
  <c r="J111" i="9" s="1"/>
  <c r="J110" i="4"/>
  <c r="K110" i="4" s="1"/>
  <c r="G111" i="4" s="1"/>
  <c r="I111" i="4" s="1"/>
  <c r="G115" i="11" l="1"/>
  <c r="H115" i="11" s="1"/>
  <c r="I115" i="11" s="1"/>
  <c r="E116" i="11" s="1"/>
  <c r="H85" i="6"/>
  <c r="I85" i="6" s="1"/>
  <c r="E86" i="6" s="1"/>
  <c r="G86" i="6" s="1"/>
  <c r="H86" i="6" s="1"/>
  <c r="K111" i="9"/>
  <c r="L111" i="9" s="1"/>
  <c r="H112" i="9" s="1"/>
  <c r="J112" i="9" s="1"/>
  <c r="J111" i="4"/>
  <c r="K111" i="4" s="1"/>
  <c r="G112" i="4" s="1"/>
  <c r="I112" i="4" s="1"/>
  <c r="G116" i="11" l="1"/>
  <c r="H116" i="11" s="1"/>
  <c r="I116" i="11"/>
  <c r="E117" i="11" s="1"/>
  <c r="I86" i="6"/>
  <c r="K112" i="9"/>
  <c r="L112" i="9" s="1"/>
  <c r="H113" i="9" s="1"/>
  <c r="J113" i="9" s="1"/>
  <c r="J112" i="4"/>
  <c r="K112" i="4" s="1"/>
  <c r="G113" i="4" s="1"/>
  <c r="I113" i="4" s="1"/>
  <c r="G117" i="11" l="1"/>
  <c r="H117" i="11" s="1"/>
  <c r="I117" i="11" s="1"/>
  <c r="E118" i="11" s="1"/>
  <c r="E87" i="6"/>
  <c r="G87" i="6" s="1"/>
  <c r="K113" i="9"/>
  <c r="L113" i="9" s="1"/>
  <c r="H114" i="9" s="1"/>
  <c r="J114" i="9" s="1"/>
  <c r="J113" i="4"/>
  <c r="K113" i="4" s="1"/>
  <c r="G114" i="4" s="1"/>
  <c r="I114" i="4" s="1"/>
  <c r="G118" i="11" l="1"/>
  <c r="H118" i="11" s="1"/>
  <c r="I118" i="11" s="1"/>
  <c r="E119" i="11" s="1"/>
  <c r="I87" i="6"/>
  <c r="E88" i="6" s="1"/>
  <c r="G88" i="6" s="1"/>
  <c r="H87" i="6"/>
  <c r="K114" i="9"/>
  <c r="L114" i="9" s="1"/>
  <c r="H115" i="9" s="1"/>
  <c r="J115" i="9" s="1"/>
  <c r="J114" i="4"/>
  <c r="K114" i="4" s="1"/>
  <c r="G115" i="4" s="1"/>
  <c r="I115" i="4" s="1"/>
  <c r="G119" i="11" l="1"/>
  <c r="H119" i="11" s="1"/>
  <c r="I119" i="11" s="1"/>
  <c r="E120" i="11" s="1"/>
  <c r="H88" i="6"/>
  <c r="I88" i="6" s="1"/>
  <c r="E89" i="6" s="1"/>
  <c r="G89" i="6" s="1"/>
  <c r="H89" i="6" s="1"/>
  <c r="K115" i="9"/>
  <c r="L115" i="9" s="1"/>
  <c r="H116" i="9" s="1"/>
  <c r="J116" i="9" s="1"/>
  <c r="J115" i="4"/>
  <c r="K115" i="4" s="1"/>
  <c r="G116" i="4" s="1"/>
  <c r="I116" i="4" s="1"/>
  <c r="G120" i="11" l="1"/>
  <c r="H120" i="11" s="1"/>
  <c r="I120" i="11" s="1"/>
  <c r="E121" i="11" s="1"/>
  <c r="I89" i="6"/>
  <c r="K116" i="9"/>
  <c r="L116" i="9" s="1"/>
  <c r="H117" i="9" s="1"/>
  <c r="J117" i="9" s="1"/>
  <c r="J116" i="4"/>
  <c r="K116" i="4" s="1"/>
  <c r="G117" i="4" s="1"/>
  <c r="I117" i="4" s="1"/>
  <c r="G121" i="11" l="1"/>
  <c r="H121" i="11" s="1"/>
  <c r="I121" i="11" s="1"/>
  <c r="E122" i="11" s="1"/>
  <c r="E90" i="6"/>
  <c r="G90" i="6" s="1"/>
  <c r="H90" i="6" s="1"/>
  <c r="K117" i="9"/>
  <c r="L117" i="9" s="1"/>
  <c r="H118" i="9" s="1"/>
  <c r="J118" i="9" s="1"/>
  <c r="J117" i="4"/>
  <c r="K117" i="4" s="1"/>
  <c r="G118" i="4" s="1"/>
  <c r="I118" i="4" s="1"/>
  <c r="G122" i="11" l="1"/>
  <c r="H122" i="11" s="1"/>
  <c r="I122" i="11" s="1"/>
  <c r="E123" i="11" s="1"/>
  <c r="G123" i="11" s="1"/>
  <c r="I90" i="6"/>
  <c r="K118" i="9"/>
  <c r="L118" i="9" s="1"/>
  <c r="H119" i="9" s="1"/>
  <c r="J119" i="9" s="1"/>
  <c r="J118" i="4"/>
  <c r="K118" i="4" s="1"/>
  <c r="G119" i="4" s="1"/>
  <c r="I119" i="4" s="1"/>
  <c r="H123" i="11" l="1"/>
  <c r="I123" i="11" s="1"/>
  <c r="E124" i="11" s="1"/>
  <c r="G124" i="11" s="1"/>
  <c r="E91" i="6"/>
  <c r="G91" i="6" s="1"/>
  <c r="H91" i="6" s="1"/>
  <c r="K119" i="9"/>
  <c r="L119" i="9" s="1"/>
  <c r="H120" i="9" s="1"/>
  <c r="J119" i="4"/>
  <c r="K119" i="4" s="1"/>
  <c r="G120" i="4" s="1"/>
  <c r="I120" i="4" s="1"/>
  <c r="H124" i="11" l="1"/>
  <c r="I124" i="11" s="1"/>
  <c r="E125" i="11" s="1"/>
  <c r="G125" i="11" s="1"/>
  <c r="I91" i="6"/>
  <c r="K120" i="9"/>
  <c r="L120" i="9" s="1"/>
  <c r="H121" i="9" s="1"/>
  <c r="J121" i="9" s="1"/>
  <c r="J120" i="4"/>
  <c r="K120" i="4" s="1"/>
  <c r="G121" i="4" s="1"/>
  <c r="I121" i="4" s="1"/>
  <c r="H125" i="11" l="1"/>
  <c r="I125" i="11" s="1"/>
  <c r="E126" i="11" s="1"/>
  <c r="G126" i="11" s="1"/>
  <c r="E92" i="6"/>
  <c r="G92" i="6" s="1"/>
  <c r="K121" i="9"/>
  <c r="L121" i="9" s="1"/>
  <c r="H122" i="9" s="1"/>
  <c r="J122" i="9" s="1"/>
  <c r="J121" i="4"/>
  <c r="K121" i="4" s="1"/>
  <c r="G122" i="4" s="1"/>
  <c r="I122" i="4" s="1"/>
  <c r="H126" i="11" l="1"/>
  <c r="I126" i="11" s="1"/>
  <c r="E127" i="11" s="1"/>
  <c r="G127" i="11" s="1"/>
  <c r="I92" i="6"/>
  <c r="E93" i="6" s="1"/>
  <c r="H92" i="6"/>
  <c r="K122" i="9"/>
  <c r="L122" i="9" s="1"/>
  <c r="H123" i="9" s="1"/>
  <c r="J123" i="9" s="1"/>
  <c r="J122" i="4"/>
  <c r="K122" i="4" s="1"/>
  <c r="G123" i="4" s="1"/>
  <c r="I123" i="4" s="1"/>
  <c r="H127" i="11" l="1"/>
  <c r="I127" i="11" s="1"/>
  <c r="E128" i="11" s="1"/>
  <c r="G128" i="11" s="1"/>
  <c r="G93" i="6"/>
  <c r="H93" i="6" s="1"/>
  <c r="I93" i="6" s="1"/>
  <c r="K123" i="9"/>
  <c r="L123" i="9" s="1"/>
  <c r="H124" i="9" s="1"/>
  <c r="J124" i="9" s="1"/>
  <c r="J123" i="4"/>
  <c r="K123" i="4" s="1"/>
  <c r="G124" i="4" s="1"/>
  <c r="I124" i="4" s="1"/>
  <c r="H128" i="11" l="1"/>
  <c r="I128" i="11" s="1"/>
  <c r="E129" i="11" s="1"/>
  <c r="G129" i="11" s="1"/>
  <c r="E94" i="6"/>
  <c r="G94" i="6" s="1"/>
  <c r="H94" i="6" s="1"/>
  <c r="K124" i="9"/>
  <c r="L124" i="9" s="1"/>
  <c r="H125" i="9" s="1"/>
  <c r="J125" i="9" s="1"/>
  <c r="J124" i="4"/>
  <c r="K124" i="4" s="1"/>
  <c r="G125" i="4" s="1"/>
  <c r="I125" i="4" s="1"/>
  <c r="H129" i="11" l="1"/>
  <c r="I129" i="11" s="1"/>
  <c r="E130" i="11" s="1"/>
  <c r="G130" i="11" s="1"/>
  <c r="I94" i="6"/>
  <c r="K125" i="9"/>
  <c r="L125" i="9" s="1"/>
  <c r="H126" i="9" s="1"/>
  <c r="J126" i="9" s="1"/>
  <c r="J125" i="4"/>
  <c r="K125" i="4" s="1"/>
  <c r="G126" i="4" s="1"/>
  <c r="I126" i="4" s="1"/>
  <c r="H130" i="11" l="1"/>
  <c r="I130" i="11" s="1"/>
  <c r="E131" i="11" s="1"/>
  <c r="G131" i="11" s="1"/>
  <c r="E95" i="6"/>
  <c r="K126" i="9"/>
  <c r="L126" i="9" s="1"/>
  <c r="H127" i="9" s="1"/>
  <c r="J127" i="9" s="1"/>
  <c r="J126" i="4"/>
  <c r="K126" i="4" s="1"/>
  <c r="G127" i="4" s="1"/>
  <c r="I127" i="4" s="1"/>
  <c r="H131" i="11" l="1"/>
  <c r="I131" i="11" s="1"/>
  <c r="E132" i="11" s="1"/>
  <c r="G132" i="11" s="1"/>
  <c r="G95" i="6"/>
  <c r="H95" i="6" s="1"/>
  <c r="I95" i="6" s="1"/>
  <c r="K127" i="9"/>
  <c r="L127" i="9" s="1"/>
  <c r="H128" i="9" s="1"/>
  <c r="J128" i="9" s="1"/>
  <c r="J127" i="4"/>
  <c r="K127" i="4" s="1"/>
  <c r="G128" i="4" s="1"/>
  <c r="I128" i="4" s="1"/>
  <c r="H132" i="11" l="1"/>
  <c r="I132" i="11" s="1"/>
  <c r="E133" i="11" s="1"/>
  <c r="G133" i="11" s="1"/>
  <c r="E96" i="6"/>
  <c r="G96" i="6" s="1"/>
  <c r="H96" i="6" s="1"/>
  <c r="K128" i="9"/>
  <c r="L128" i="9" s="1"/>
  <c r="H129" i="9" s="1"/>
  <c r="J129" i="9" s="1"/>
  <c r="J128" i="4"/>
  <c r="K128" i="4" s="1"/>
  <c r="G129" i="4" s="1"/>
  <c r="I129" i="4" s="1"/>
  <c r="H133" i="11" l="1"/>
  <c r="I133" i="11" s="1"/>
  <c r="E134" i="11" s="1"/>
  <c r="I96" i="6"/>
  <c r="K129" i="9"/>
  <c r="L129" i="9" s="1"/>
  <c r="H130" i="9" s="1"/>
  <c r="J130" i="9" s="1"/>
  <c r="J129" i="4"/>
  <c r="K129" i="4" s="1"/>
  <c r="G130" i="4" s="1"/>
  <c r="I130" i="4" s="1"/>
  <c r="G134" i="11" l="1"/>
  <c r="H134" i="11"/>
  <c r="E97" i="6"/>
  <c r="G97" i="6" s="1"/>
  <c r="K130" i="9"/>
  <c r="L130" i="9" s="1"/>
  <c r="H131" i="9" s="1"/>
  <c r="J131" i="9" s="1"/>
  <c r="J130" i="4"/>
  <c r="K130" i="4" s="1"/>
  <c r="G131" i="4" s="1"/>
  <c r="I131" i="4" s="1"/>
  <c r="I134" i="11" l="1"/>
  <c r="E135" i="11" s="1"/>
  <c r="G135" i="11" s="1"/>
  <c r="H135" i="11" s="1"/>
  <c r="I135" i="11" s="1"/>
  <c r="E136" i="11" s="1"/>
  <c r="H97" i="6"/>
  <c r="I97" i="6" s="1"/>
  <c r="E98" i="6" s="1"/>
  <c r="G98" i="6" s="1"/>
  <c r="H98" i="6" s="1"/>
  <c r="K131" i="9"/>
  <c r="L131" i="9" s="1"/>
  <c r="H132" i="9" s="1"/>
  <c r="J132" i="9" s="1"/>
  <c r="J131" i="4"/>
  <c r="K131" i="4" s="1"/>
  <c r="G132" i="4" s="1"/>
  <c r="I132" i="4" s="1"/>
  <c r="G136" i="11" l="1"/>
  <c r="H136" i="11" s="1"/>
  <c r="I136" i="11" s="1"/>
  <c r="E137" i="11" s="1"/>
  <c r="I98" i="6"/>
  <c r="K132" i="9"/>
  <c r="L132" i="9" s="1"/>
  <c r="H133" i="9" s="1"/>
  <c r="J133" i="9" s="1"/>
  <c r="J132" i="4"/>
  <c r="K132" i="4" s="1"/>
  <c r="G133" i="4" s="1"/>
  <c r="I133" i="4" s="1"/>
  <c r="G137" i="11" l="1"/>
  <c r="H137" i="11" s="1"/>
  <c r="I137" i="11" s="1"/>
  <c r="E138" i="11" s="1"/>
  <c r="E99" i="6"/>
  <c r="K133" i="9"/>
  <c r="L133" i="9" s="1"/>
  <c r="H134" i="9" s="1"/>
  <c r="J134" i="9" s="1"/>
  <c r="J133" i="4"/>
  <c r="K133" i="4" s="1"/>
  <c r="G134" i="4" s="1"/>
  <c r="I134" i="4" s="1"/>
  <c r="G138" i="11" l="1"/>
  <c r="H138" i="11" s="1"/>
  <c r="I138" i="11" s="1"/>
  <c r="E139" i="11" s="1"/>
  <c r="G99" i="6"/>
  <c r="H99" i="6" s="1"/>
  <c r="I99" i="6" s="1"/>
  <c r="K134" i="9"/>
  <c r="L134" i="9" s="1"/>
  <c r="H135" i="9" s="1"/>
  <c r="J135" i="9" s="1"/>
  <c r="J134" i="4"/>
  <c r="K134" i="4" s="1"/>
  <c r="G135" i="4" s="1"/>
  <c r="I135" i="4" s="1"/>
  <c r="G139" i="11" l="1"/>
  <c r="H139" i="11" s="1"/>
  <c r="I139" i="11" s="1"/>
  <c r="E140" i="11" s="1"/>
  <c r="E100" i="6"/>
  <c r="K135" i="9"/>
  <c r="L135" i="9" s="1"/>
  <c r="H136" i="9" s="1"/>
  <c r="J136" i="9" s="1"/>
  <c r="J135" i="4"/>
  <c r="K135" i="4" s="1"/>
  <c r="G136" i="4" s="1"/>
  <c r="I136" i="4" s="1"/>
  <c r="G140" i="11" l="1"/>
  <c r="H140" i="11" s="1"/>
  <c r="I140" i="11" s="1"/>
  <c r="E141" i="11" s="1"/>
  <c r="G100" i="6"/>
  <c r="H100" i="6" s="1"/>
  <c r="I100" i="6"/>
  <c r="K136" i="9"/>
  <c r="L136" i="9" s="1"/>
  <c r="H137" i="9" s="1"/>
  <c r="J137" i="9" s="1"/>
  <c r="J136" i="4"/>
  <c r="K136" i="4" s="1"/>
  <c r="G137" i="4" s="1"/>
  <c r="I137" i="4" s="1"/>
  <c r="G141" i="11" l="1"/>
  <c r="H141" i="11" s="1"/>
  <c r="I141" i="11" s="1"/>
  <c r="E142" i="11" s="1"/>
  <c r="E101" i="6"/>
  <c r="K137" i="9"/>
  <c r="L137" i="9" s="1"/>
  <c r="H138" i="9" s="1"/>
  <c r="J138" i="9" s="1"/>
  <c r="J137" i="4"/>
  <c r="K137" i="4" s="1"/>
  <c r="G138" i="4" s="1"/>
  <c r="I138" i="4" s="1"/>
  <c r="G142" i="11" l="1"/>
  <c r="H142" i="11" s="1"/>
  <c r="I142" i="11" s="1"/>
  <c r="E143" i="11" s="1"/>
  <c r="G101" i="6"/>
  <c r="H101" i="6" s="1"/>
  <c r="I101" i="6" s="1"/>
  <c r="K138" i="9"/>
  <c r="L138" i="9" s="1"/>
  <c r="H139" i="9" s="1"/>
  <c r="J139" i="9" s="1"/>
  <c r="J138" i="4"/>
  <c r="K138" i="4" s="1"/>
  <c r="G139" i="4" s="1"/>
  <c r="I139" i="4" s="1"/>
  <c r="G143" i="11" l="1"/>
  <c r="H143" i="11" s="1"/>
  <c r="I143" i="11" s="1"/>
  <c r="E144" i="11" s="1"/>
  <c r="E102" i="6"/>
  <c r="K139" i="9"/>
  <c r="L139" i="9" s="1"/>
  <c r="H140" i="9" s="1"/>
  <c r="J140" i="9" s="1"/>
  <c r="J139" i="4"/>
  <c r="K139" i="4" s="1"/>
  <c r="G140" i="4" s="1"/>
  <c r="I140" i="4" s="1"/>
  <c r="G144" i="11" l="1"/>
  <c r="H144" i="11" s="1"/>
  <c r="I144" i="11" s="1"/>
  <c r="E145" i="11" s="1"/>
  <c r="G102" i="6"/>
  <c r="H102" i="6" s="1"/>
  <c r="I102" i="6"/>
  <c r="K140" i="9"/>
  <c r="L140" i="9" s="1"/>
  <c r="H141" i="9" s="1"/>
  <c r="J141" i="9" s="1"/>
  <c r="J140" i="4"/>
  <c r="K140" i="4" s="1"/>
  <c r="G141" i="4" s="1"/>
  <c r="I141" i="4" s="1"/>
  <c r="G145" i="11" l="1"/>
  <c r="H145" i="11" s="1"/>
  <c r="I145" i="11" s="1"/>
  <c r="E146" i="11" s="1"/>
  <c r="E103" i="6"/>
  <c r="G103" i="6" s="1"/>
  <c r="K141" i="9"/>
  <c r="L141" i="9" s="1"/>
  <c r="H142" i="9" s="1"/>
  <c r="J142" i="9" s="1"/>
  <c r="J141" i="4"/>
  <c r="K141" i="4" s="1"/>
  <c r="G142" i="4" s="1"/>
  <c r="I142" i="4" s="1"/>
  <c r="G146" i="11" l="1"/>
  <c r="H146" i="11" s="1"/>
  <c r="I146" i="11" s="1"/>
  <c r="E147" i="11" s="1"/>
  <c r="H103" i="6"/>
  <c r="I103" i="6" s="1"/>
  <c r="E104" i="6" s="1"/>
  <c r="G104" i="6" s="1"/>
  <c r="H104" i="6" s="1"/>
  <c r="K142" i="9"/>
  <c r="L142" i="9" s="1"/>
  <c r="H143" i="9" s="1"/>
  <c r="J143" i="9" s="1"/>
  <c r="J142" i="4"/>
  <c r="K142" i="4" s="1"/>
  <c r="G143" i="4" s="1"/>
  <c r="I143" i="4" s="1"/>
  <c r="G147" i="11" l="1"/>
  <c r="H147" i="11" s="1"/>
  <c r="I147" i="11" s="1"/>
  <c r="E148" i="11" s="1"/>
  <c r="I104" i="6"/>
  <c r="K143" i="9"/>
  <c r="L143" i="9" s="1"/>
  <c r="H144" i="9" s="1"/>
  <c r="J144" i="9" s="1"/>
  <c r="J143" i="4"/>
  <c r="K143" i="4" s="1"/>
  <c r="G144" i="4" s="1"/>
  <c r="I144" i="4" s="1"/>
  <c r="G148" i="11" l="1"/>
  <c r="H148" i="11" s="1"/>
  <c r="I148" i="11" s="1"/>
  <c r="E149" i="11" s="1"/>
  <c r="E105" i="6"/>
  <c r="G105" i="6" s="1"/>
  <c r="H105" i="6" s="1"/>
  <c r="K144" i="9"/>
  <c r="L144" i="9" s="1"/>
  <c r="H145" i="9" s="1"/>
  <c r="J145" i="9" s="1"/>
  <c r="J144" i="4"/>
  <c r="K144" i="4" s="1"/>
  <c r="G145" i="4" s="1"/>
  <c r="I145" i="4" s="1"/>
  <c r="G149" i="11" l="1"/>
  <c r="H149" i="11" s="1"/>
  <c r="I149" i="11" s="1"/>
  <c r="E150" i="11" s="1"/>
  <c r="I105" i="6"/>
  <c r="K145" i="9"/>
  <c r="L145" i="9" s="1"/>
  <c r="H146" i="9" s="1"/>
  <c r="J146" i="9" s="1"/>
  <c r="J145" i="4"/>
  <c r="K145" i="4" s="1"/>
  <c r="G146" i="4" s="1"/>
  <c r="I146" i="4" s="1"/>
  <c r="G150" i="11" l="1"/>
  <c r="H150" i="11" s="1"/>
  <c r="I150" i="11" s="1"/>
  <c r="E151" i="11" s="1"/>
  <c r="E106" i="6"/>
  <c r="G106" i="6" s="1"/>
  <c r="H106" i="6" s="1"/>
  <c r="K146" i="9"/>
  <c r="L146" i="9" s="1"/>
  <c r="H147" i="9" s="1"/>
  <c r="J147" i="9" s="1"/>
  <c r="J146" i="4"/>
  <c r="K146" i="4" s="1"/>
  <c r="G147" i="4" s="1"/>
  <c r="I147" i="4" s="1"/>
  <c r="G151" i="11" l="1"/>
  <c r="H151" i="11" s="1"/>
  <c r="I151" i="11" s="1"/>
  <c r="E152" i="11" s="1"/>
  <c r="I106" i="6"/>
  <c r="K147" i="9"/>
  <c r="L147" i="9" s="1"/>
  <c r="H148" i="9" s="1"/>
  <c r="J148" i="9" s="1"/>
  <c r="J147" i="4"/>
  <c r="K147" i="4" s="1"/>
  <c r="G148" i="4" s="1"/>
  <c r="I148" i="4" s="1"/>
  <c r="G152" i="11" l="1"/>
  <c r="H152" i="11" s="1"/>
  <c r="I152" i="11" s="1"/>
  <c r="E153" i="11" s="1"/>
  <c r="E107" i="6"/>
  <c r="K148" i="9"/>
  <c r="L148" i="9" s="1"/>
  <c r="H149" i="9" s="1"/>
  <c r="J149" i="9" s="1"/>
  <c r="J148" i="4"/>
  <c r="K148" i="4" s="1"/>
  <c r="G149" i="4" s="1"/>
  <c r="I149" i="4" s="1"/>
  <c r="G153" i="11" l="1"/>
  <c r="H153" i="11" s="1"/>
  <c r="I153" i="11" s="1"/>
  <c r="E154" i="11" s="1"/>
  <c r="G107" i="6"/>
  <c r="H107" i="6" s="1"/>
  <c r="I107" i="6"/>
  <c r="K149" i="9"/>
  <c r="L149" i="9" s="1"/>
  <c r="H150" i="9" s="1"/>
  <c r="J150" i="9" s="1"/>
  <c r="J149" i="4"/>
  <c r="K149" i="4" s="1"/>
  <c r="G150" i="4" s="1"/>
  <c r="I150" i="4" s="1"/>
  <c r="G154" i="11" l="1"/>
  <c r="H154" i="11" s="1"/>
  <c r="I154" i="11" s="1"/>
  <c r="E155" i="11" s="1"/>
  <c r="E108" i="6"/>
  <c r="K150" i="9"/>
  <c r="L150" i="9" s="1"/>
  <c r="H151" i="9" s="1"/>
  <c r="J151" i="9" s="1"/>
  <c r="J150" i="4"/>
  <c r="K150" i="4" s="1"/>
  <c r="G151" i="4" s="1"/>
  <c r="I151" i="4" s="1"/>
  <c r="G155" i="11" l="1"/>
  <c r="H155" i="11" s="1"/>
  <c r="I155" i="11" s="1"/>
  <c r="E156" i="11" s="1"/>
  <c r="G108" i="6"/>
  <c r="H108" i="6" s="1"/>
  <c r="I108" i="6" s="1"/>
  <c r="K151" i="9"/>
  <c r="L151" i="9" s="1"/>
  <c r="H152" i="9" s="1"/>
  <c r="J152" i="9" s="1"/>
  <c r="J151" i="4"/>
  <c r="K151" i="4" s="1"/>
  <c r="G152" i="4" s="1"/>
  <c r="I152" i="4" s="1"/>
  <c r="G156" i="11" l="1"/>
  <c r="H156" i="11" s="1"/>
  <c r="I156" i="11" s="1"/>
  <c r="E157" i="11" s="1"/>
  <c r="K152" i="9"/>
  <c r="L152" i="9" s="1"/>
  <c r="H153" i="9" s="1"/>
  <c r="J153" i="9" s="1"/>
  <c r="J152" i="4"/>
  <c r="K152" i="4" s="1"/>
  <c r="G153" i="4" s="1"/>
  <c r="I153" i="4" s="1"/>
  <c r="G157" i="11" l="1"/>
  <c r="H157" i="11" s="1"/>
  <c r="I157" i="11" s="1"/>
  <c r="E158" i="11" s="1"/>
  <c r="K153" i="9"/>
  <c r="L153" i="9" s="1"/>
  <c r="H154" i="9" s="1"/>
  <c r="J154" i="9" s="1"/>
  <c r="J153" i="4"/>
  <c r="K153" i="4" s="1"/>
  <c r="G154" i="4" s="1"/>
  <c r="I154" i="4" s="1"/>
  <c r="G158" i="11" l="1"/>
  <c r="H158" i="11" s="1"/>
  <c r="I158" i="11" s="1"/>
  <c r="E159" i="11" s="1"/>
  <c r="E110" i="6"/>
  <c r="K154" i="9"/>
  <c r="L154" i="9" s="1"/>
  <c r="H155" i="9" s="1"/>
  <c r="J155" i="9" s="1"/>
  <c r="J154" i="4"/>
  <c r="K154" i="4" s="1"/>
  <c r="G155" i="4" s="1"/>
  <c r="I155" i="4" s="1"/>
  <c r="G159" i="11" l="1"/>
  <c r="H159" i="11" s="1"/>
  <c r="I159" i="11" s="1"/>
  <c r="E160" i="11" s="1"/>
  <c r="G110" i="6"/>
  <c r="H110" i="6" s="1"/>
  <c r="I110" i="6" s="1"/>
  <c r="K155" i="9"/>
  <c r="L155" i="9" s="1"/>
  <c r="H156" i="9" s="1"/>
  <c r="J156" i="9" s="1"/>
  <c r="J155" i="4"/>
  <c r="K155" i="4" s="1"/>
  <c r="G156" i="4" s="1"/>
  <c r="I156" i="4" s="1"/>
  <c r="G160" i="11" l="1"/>
  <c r="H160" i="11" s="1"/>
  <c r="I160" i="11" s="1"/>
  <c r="E161" i="11" s="1"/>
  <c r="E111" i="6"/>
  <c r="K156" i="9"/>
  <c r="L156" i="9" s="1"/>
  <c r="H157" i="9" s="1"/>
  <c r="J157" i="9" s="1"/>
  <c r="J156" i="4"/>
  <c r="K156" i="4" s="1"/>
  <c r="G157" i="4" s="1"/>
  <c r="I157" i="4" s="1"/>
  <c r="G161" i="11" l="1"/>
  <c r="H161" i="11" s="1"/>
  <c r="I161" i="11" s="1"/>
  <c r="E162" i="11" s="1"/>
  <c r="G111" i="6"/>
  <c r="H111" i="6" s="1"/>
  <c r="I111" i="6"/>
  <c r="K157" i="9"/>
  <c r="L157" i="9" s="1"/>
  <c r="H158" i="9" s="1"/>
  <c r="J158" i="9" s="1"/>
  <c r="J157" i="4"/>
  <c r="K157" i="4" s="1"/>
  <c r="G158" i="4" s="1"/>
  <c r="I158" i="4" s="1"/>
  <c r="G162" i="11" l="1"/>
  <c r="H162" i="11" s="1"/>
  <c r="I162" i="11" s="1"/>
  <c r="E163" i="11" s="1"/>
  <c r="E112" i="6"/>
  <c r="K158" i="9"/>
  <c r="L158" i="9" s="1"/>
  <c r="H159" i="9" s="1"/>
  <c r="J159" i="9" s="1"/>
  <c r="J158" i="4"/>
  <c r="K158" i="4" s="1"/>
  <c r="G159" i="4" s="1"/>
  <c r="I159" i="4" s="1"/>
  <c r="G163" i="11" l="1"/>
  <c r="H163" i="11" s="1"/>
  <c r="I163" i="11" s="1"/>
  <c r="E164" i="11" s="1"/>
  <c r="G112" i="6"/>
  <c r="H112" i="6" s="1"/>
  <c r="I112" i="6"/>
  <c r="K159" i="9"/>
  <c r="L159" i="9" s="1"/>
  <c r="H160" i="9" s="1"/>
  <c r="J160" i="9" s="1"/>
  <c r="J159" i="4"/>
  <c r="K159" i="4" s="1"/>
  <c r="G160" i="4" s="1"/>
  <c r="I160" i="4" s="1"/>
  <c r="G164" i="11" l="1"/>
  <c r="H164" i="11" s="1"/>
  <c r="I164" i="11" s="1"/>
  <c r="E165" i="11" s="1"/>
  <c r="E113" i="6"/>
  <c r="K160" i="9"/>
  <c r="L160" i="9" s="1"/>
  <c r="H161" i="9" s="1"/>
  <c r="J161" i="9" s="1"/>
  <c r="J160" i="4"/>
  <c r="K160" i="4" s="1"/>
  <c r="G161" i="4" s="1"/>
  <c r="I161" i="4" s="1"/>
  <c r="G165" i="11" l="1"/>
  <c r="H165" i="11" s="1"/>
  <c r="I165" i="11" s="1"/>
  <c r="E166" i="11" s="1"/>
  <c r="G113" i="6"/>
  <c r="H113" i="6" s="1"/>
  <c r="I113" i="6"/>
  <c r="K161" i="9"/>
  <c r="L161" i="9" s="1"/>
  <c r="H162" i="9" s="1"/>
  <c r="J162" i="9" s="1"/>
  <c r="J161" i="4"/>
  <c r="K161" i="4" s="1"/>
  <c r="G162" i="4" s="1"/>
  <c r="I162" i="4" s="1"/>
  <c r="G166" i="11" l="1"/>
  <c r="H166" i="11" s="1"/>
  <c r="I166" i="11" s="1"/>
  <c r="E167" i="11" s="1"/>
  <c r="E114" i="6"/>
  <c r="G114" i="6" s="1"/>
  <c r="H114" i="6" s="1"/>
  <c r="K162" i="9"/>
  <c r="L162" i="9" s="1"/>
  <c r="H163" i="9" s="1"/>
  <c r="J163" i="9" s="1"/>
  <c r="J162" i="4"/>
  <c r="K162" i="4" s="1"/>
  <c r="G163" i="4" s="1"/>
  <c r="I163" i="4" s="1"/>
  <c r="G167" i="11" l="1"/>
  <c r="H167" i="11" s="1"/>
  <c r="I167" i="11" s="1"/>
  <c r="E168" i="11" s="1"/>
  <c r="I114" i="6"/>
  <c r="K163" i="9"/>
  <c r="L163" i="9" s="1"/>
  <c r="H164" i="9" s="1"/>
  <c r="J164" i="9" s="1"/>
  <c r="J163" i="4"/>
  <c r="K163" i="4" s="1"/>
  <c r="G164" i="4" s="1"/>
  <c r="I164" i="4" s="1"/>
  <c r="G168" i="11" l="1"/>
  <c r="H168" i="11" s="1"/>
  <c r="I168" i="11" s="1"/>
  <c r="E169" i="11" s="1"/>
  <c r="E115" i="6"/>
  <c r="G115" i="6" s="1"/>
  <c r="H115" i="6" s="1"/>
  <c r="K164" i="9"/>
  <c r="L164" i="9" s="1"/>
  <c r="H165" i="9" s="1"/>
  <c r="J165" i="9" s="1"/>
  <c r="J164" i="4"/>
  <c r="K164" i="4" s="1"/>
  <c r="G165" i="4" s="1"/>
  <c r="I165" i="4" s="1"/>
  <c r="G169" i="11" l="1"/>
  <c r="H169" i="11" s="1"/>
  <c r="I169" i="11"/>
  <c r="E170" i="11" s="1"/>
  <c r="I115" i="6"/>
  <c r="K165" i="9"/>
  <c r="L165" i="9" s="1"/>
  <c r="H166" i="9" s="1"/>
  <c r="J166" i="9" s="1"/>
  <c r="J165" i="4"/>
  <c r="K165" i="4" s="1"/>
  <c r="G166" i="4" s="1"/>
  <c r="I166" i="4" s="1"/>
  <c r="G170" i="11" l="1"/>
  <c r="H170" i="11" s="1"/>
  <c r="I170" i="11"/>
  <c r="E171" i="11" s="1"/>
  <c r="E116" i="6"/>
  <c r="G116" i="6" s="1"/>
  <c r="H116" i="6" s="1"/>
  <c r="K166" i="9"/>
  <c r="L166" i="9" s="1"/>
  <c r="H167" i="9" s="1"/>
  <c r="J167" i="9" s="1"/>
  <c r="J166" i="4"/>
  <c r="K166" i="4" s="1"/>
  <c r="G167" i="4" s="1"/>
  <c r="I167" i="4" s="1"/>
  <c r="G171" i="11" l="1"/>
  <c r="H171" i="11" s="1"/>
  <c r="I171" i="11"/>
  <c r="E172" i="11" s="1"/>
  <c r="I116" i="6"/>
  <c r="K167" i="9"/>
  <c r="L167" i="9" s="1"/>
  <c r="H168" i="9" s="1"/>
  <c r="J168" i="9" s="1"/>
  <c r="J167" i="4"/>
  <c r="K167" i="4" s="1"/>
  <c r="G168" i="4" s="1"/>
  <c r="I168" i="4" s="1"/>
  <c r="G172" i="11" l="1"/>
  <c r="H172" i="11" s="1"/>
  <c r="I172" i="11"/>
  <c r="E173" i="11" s="1"/>
  <c r="G173" i="11" s="1"/>
  <c r="H173" i="11" s="1"/>
  <c r="I173" i="11" s="1"/>
  <c r="E174" i="11" s="1"/>
  <c r="E117" i="6"/>
  <c r="K168" i="9"/>
  <c r="L168" i="9" s="1"/>
  <c r="H169" i="9" s="1"/>
  <c r="J169" i="9" s="1"/>
  <c r="J168" i="4"/>
  <c r="K168" i="4" s="1"/>
  <c r="G169" i="4" s="1"/>
  <c r="I169" i="4" s="1"/>
  <c r="G174" i="11" l="1"/>
  <c r="H174" i="11" s="1"/>
  <c r="I174" i="11"/>
  <c r="E175" i="11" s="1"/>
  <c r="G175" i="11" s="1"/>
  <c r="H175" i="11" s="1"/>
  <c r="I175" i="11" s="1"/>
  <c r="E176" i="11" s="1"/>
  <c r="G176" i="11" s="1"/>
  <c r="H176" i="11" s="1"/>
  <c r="I176" i="11" s="1"/>
  <c r="E177" i="11" s="1"/>
  <c r="G177" i="11" s="1"/>
  <c r="H177" i="11" s="1"/>
  <c r="I177" i="11" s="1"/>
  <c r="E178" i="11" s="1"/>
  <c r="G117" i="6"/>
  <c r="H117" i="6" s="1"/>
  <c r="I117" i="6"/>
  <c r="K169" i="9"/>
  <c r="L169" i="9" s="1"/>
  <c r="H170" i="9" s="1"/>
  <c r="J170" i="9" s="1"/>
  <c r="J169" i="4"/>
  <c r="K169" i="4" s="1"/>
  <c r="G170" i="4" s="1"/>
  <c r="I170" i="4" s="1"/>
  <c r="G178" i="11" l="1"/>
  <c r="H178" i="11" s="1"/>
  <c r="I178" i="11"/>
  <c r="E179" i="11" s="1"/>
  <c r="G179" i="11" s="1"/>
  <c r="H179" i="11" s="1"/>
  <c r="I179" i="11" s="1"/>
  <c r="E180" i="11" s="1"/>
  <c r="G180" i="11" s="1"/>
  <c r="H180" i="11" s="1"/>
  <c r="I180" i="11" s="1"/>
  <c r="E181" i="11" s="1"/>
  <c r="G181" i="11" s="1"/>
  <c r="H181" i="11" s="1"/>
  <c r="I181" i="11" s="1"/>
  <c r="E182" i="11" s="1"/>
  <c r="E118" i="6"/>
  <c r="K170" i="9"/>
  <c r="L170" i="9" s="1"/>
  <c r="H171" i="9" s="1"/>
  <c r="J171" i="9" s="1"/>
  <c r="J170" i="4"/>
  <c r="K170" i="4" s="1"/>
  <c r="G171" i="4" s="1"/>
  <c r="I171" i="4" s="1"/>
  <c r="G182" i="11" l="1"/>
  <c r="H182" i="11" s="1"/>
  <c r="I182" i="11" s="1"/>
  <c r="E183" i="11" s="1"/>
  <c r="G118" i="6"/>
  <c r="H118" i="6" s="1"/>
  <c r="I118" i="6" s="1"/>
  <c r="K171" i="9"/>
  <c r="L171" i="9" s="1"/>
  <c r="H172" i="9" s="1"/>
  <c r="J172" i="9" s="1"/>
  <c r="J171" i="4"/>
  <c r="K171" i="4" s="1"/>
  <c r="G172" i="4" s="1"/>
  <c r="I172" i="4" s="1"/>
  <c r="G183" i="11" l="1"/>
  <c r="H183" i="11" s="1"/>
  <c r="I183" i="11"/>
  <c r="E184" i="11" s="1"/>
  <c r="E119" i="6"/>
  <c r="K172" i="9"/>
  <c r="L172" i="9" s="1"/>
  <c r="H173" i="9" s="1"/>
  <c r="J173" i="9" s="1"/>
  <c r="J172" i="4"/>
  <c r="K172" i="4"/>
  <c r="G173" i="4" s="1"/>
  <c r="I173" i="4" s="1"/>
  <c r="G184" i="11" l="1"/>
  <c r="H184" i="11" s="1"/>
  <c r="E185" i="11"/>
  <c r="G119" i="6"/>
  <c r="H119" i="6" s="1"/>
  <c r="I119" i="6" s="1"/>
  <c r="K173" i="9"/>
  <c r="L173" i="9" s="1"/>
  <c r="H174" i="9" s="1"/>
  <c r="J174" i="9" s="1"/>
  <c r="J173" i="4"/>
  <c r="K173" i="4" s="1"/>
  <c r="G174" i="4" s="1"/>
  <c r="I174" i="4" s="1"/>
  <c r="G185" i="11" l="1"/>
  <c r="H185" i="11" s="1"/>
  <c r="I185" i="11" s="1"/>
  <c r="E120" i="6"/>
  <c r="K174" i="9"/>
  <c r="L174" i="9" s="1"/>
  <c r="H175" i="9" s="1"/>
  <c r="J175" i="9" s="1"/>
  <c r="J174" i="4"/>
  <c r="K174" i="4" s="1"/>
  <c r="G175" i="4" s="1"/>
  <c r="I175" i="4" s="1"/>
  <c r="G120" i="6" l="1"/>
  <c r="H120" i="6" s="1"/>
  <c r="I120" i="6" s="1"/>
  <c r="K175" i="9"/>
  <c r="L175" i="9" s="1"/>
  <c r="H176" i="9" s="1"/>
  <c r="J176" i="9" s="1"/>
  <c r="J175" i="4"/>
  <c r="K175" i="4" s="1"/>
  <c r="G176" i="4" s="1"/>
  <c r="I176" i="4" s="1"/>
  <c r="E121" i="6" l="1"/>
  <c r="G121" i="6" s="1"/>
  <c r="H121" i="6" s="1"/>
  <c r="K176" i="9"/>
  <c r="L176" i="9" s="1"/>
  <c r="H177" i="9" s="1"/>
  <c r="J177" i="9" s="1"/>
  <c r="J176" i="4"/>
  <c r="K176" i="4"/>
  <c r="G177" i="4" s="1"/>
  <c r="I177" i="4" s="1"/>
  <c r="I121" i="6" l="1"/>
  <c r="K177" i="9"/>
  <c r="L177" i="9" s="1"/>
  <c r="H178" i="9" s="1"/>
  <c r="J178" i="9" s="1"/>
  <c r="J177" i="4"/>
  <c r="K177" i="4" s="1"/>
  <c r="G178" i="4" s="1"/>
  <c r="I178" i="4" s="1"/>
  <c r="E122" i="6" l="1"/>
  <c r="G122" i="6" s="1"/>
  <c r="H122" i="6" s="1"/>
  <c r="K178" i="9"/>
  <c r="L178" i="9" s="1"/>
  <c r="H179" i="9" s="1"/>
  <c r="J179" i="9" s="1"/>
  <c r="J178" i="4"/>
  <c r="K178" i="4" s="1"/>
  <c r="G179" i="4" s="1"/>
  <c r="I179" i="4" s="1"/>
  <c r="I122" i="6" l="1"/>
  <c r="K179" i="9"/>
  <c r="L179" i="9" s="1"/>
  <c r="H180" i="9" s="1"/>
  <c r="J180" i="9" s="1"/>
  <c r="J179" i="4"/>
  <c r="K179" i="4" s="1"/>
  <c r="G180" i="4" s="1"/>
  <c r="I180" i="4" s="1"/>
  <c r="K180" i="9" l="1"/>
  <c r="L180" i="9" s="1"/>
  <c r="H181" i="9" s="1"/>
  <c r="J180" i="4"/>
  <c r="K180" i="4" s="1"/>
  <c r="G181" i="4" s="1"/>
  <c r="I181" i="4" s="1"/>
  <c r="K181" i="9" l="1"/>
  <c r="L181" i="9" s="1"/>
  <c r="H182" i="9" s="1"/>
  <c r="J182" i="9" s="1"/>
  <c r="J181" i="4"/>
  <c r="K181" i="4" s="1"/>
  <c r="G182" i="4" s="1"/>
  <c r="I182" i="4" s="1"/>
  <c r="K182" i="9" l="1"/>
  <c r="L182" i="9" s="1"/>
  <c r="H183" i="9" s="1"/>
  <c r="J183" i="9" s="1"/>
  <c r="J182" i="4"/>
  <c r="K182" i="4" s="1"/>
  <c r="G183" i="4" s="1"/>
  <c r="I183" i="4" s="1"/>
  <c r="K183" i="9" l="1"/>
  <c r="L183" i="9" s="1"/>
  <c r="H184" i="9" s="1"/>
  <c r="J184" i="9" s="1"/>
  <c r="J183" i="4"/>
  <c r="K183" i="4" s="1"/>
  <c r="G184" i="4" s="1"/>
  <c r="I184" i="4" s="1"/>
  <c r="K184" i="9" l="1"/>
  <c r="L184" i="9" s="1"/>
  <c r="H185" i="9" s="1"/>
  <c r="J185" i="9" s="1"/>
  <c r="J184" i="4"/>
  <c r="K184" i="4" s="1"/>
  <c r="G185" i="4" s="1"/>
  <c r="I185" i="4" s="1"/>
  <c r="K185" i="9" l="1"/>
  <c r="L185" i="9" s="1"/>
  <c r="H186" i="9" s="1"/>
  <c r="J186" i="9" s="1"/>
  <c r="J185" i="4"/>
  <c r="K185" i="4" s="1"/>
  <c r="G186" i="4" s="1"/>
  <c r="I186" i="4" s="1"/>
  <c r="K186" i="9" l="1"/>
  <c r="L186" i="9" s="1"/>
  <c r="H187" i="9" s="1"/>
  <c r="J187" i="9" s="1"/>
  <c r="J186" i="4"/>
  <c r="K186" i="4" s="1"/>
  <c r="G187" i="4" s="1"/>
  <c r="I187" i="4" s="1"/>
  <c r="K187" i="9" l="1"/>
  <c r="L187" i="9" s="1"/>
  <c r="H188" i="9" s="1"/>
  <c r="J188" i="9" s="1"/>
  <c r="J187" i="4"/>
  <c r="K187" i="4" s="1"/>
  <c r="G188" i="4" s="1"/>
  <c r="I188" i="4" s="1"/>
  <c r="K188" i="9" l="1"/>
  <c r="L188" i="9" s="1"/>
  <c r="H189" i="9" s="1"/>
  <c r="J189" i="9" s="1"/>
  <c r="J188" i="4"/>
  <c r="K188" i="4" s="1"/>
  <c r="G189" i="4" s="1"/>
  <c r="I189" i="4" s="1"/>
  <c r="K189" i="9" l="1"/>
  <c r="L189" i="9" s="1"/>
  <c r="H190" i="9" s="1"/>
  <c r="J190" i="9" s="1"/>
  <c r="J189" i="4"/>
  <c r="K189" i="4" s="1"/>
  <c r="G190" i="4" s="1"/>
  <c r="I190" i="4" s="1"/>
  <c r="K190" i="9" l="1"/>
  <c r="L190" i="9" s="1"/>
  <c r="H191" i="9" s="1"/>
  <c r="J191" i="9" s="1"/>
  <c r="J190" i="4"/>
  <c r="K190" i="4" s="1"/>
  <c r="G191" i="4" s="1"/>
  <c r="I191" i="4" s="1"/>
  <c r="K191" i="9" l="1"/>
  <c r="L191" i="9" s="1"/>
  <c r="H192" i="9" s="1"/>
  <c r="J192" i="9" s="1"/>
  <c r="J191" i="4"/>
  <c r="K191" i="4" s="1"/>
  <c r="G192" i="4" s="1"/>
  <c r="I192" i="4" s="1"/>
  <c r="K192" i="9" l="1"/>
  <c r="L192" i="9" s="1"/>
  <c r="H193" i="9" s="1"/>
  <c r="J193" i="9" s="1"/>
  <c r="J192" i="4"/>
  <c r="K192" i="4" s="1"/>
  <c r="G193" i="4" s="1"/>
  <c r="I193" i="4" s="1"/>
  <c r="K193" i="9" l="1"/>
  <c r="L193" i="9" s="1"/>
  <c r="H194" i="9" s="1"/>
  <c r="J194" i="9" s="1"/>
  <c r="J193" i="4"/>
  <c r="K193" i="4" s="1"/>
  <c r="G194" i="4" s="1"/>
  <c r="I194" i="4" s="1"/>
  <c r="K194" i="9" l="1"/>
  <c r="L194" i="9" s="1"/>
  <c r="H195" i="9" s="1"/>
  <c r="J195" i="9" s="1"/>
  <c r="J194" i="4"/>
  <c r="K194" i="4" s="1"/>
  <c r="G195" i="4" s="1"/>
  <c r="I195" i="4" s="1"/>
  <c r="K195" i="9" l="1"/>
  <c r="L195" i="9" s="1"/>
  <c r="H196" i="9" s="1"/>
  <c r="J196" i="9" s="1"/>
  <c r="J195" i="4"/>
  <c r="K195" i="4" s="1"/>
  <c r="G196" i="4" s="1"/>
  <c r="I196" i="4" s="1"/>
  <c r="K196" i="9" l="1"/>
  <c r="L196" i="9" s="1"/>
  <c r="H197" i="9" s="1"/>
  <c r="J197" i="9" s="1"/>
  <c r="J196" i="4"/>
  <c r="K196" i="4" s="1"/>
  <c r="G197" i="4" s="1"/>
  <c r="I197" i="4" s="1"/>
  <c r="K197" i="9" l="1"/>
  <c r="L197" i="9" s="1"/>
  <c r="H198" i="9" s="1"/>
  <c r="J198" i="9" s="1"/>
  <c r="J197" i="4"/>
  <c r="K197" i="4" s="1"/>
  <c r="G198" i="4" s="1"/>
  <c r="I198" i="4" s="1"/>
  <c r="K198" i="9" l="1"/>
  <c r="L198" i="9" s="1"/>
  <c r="H199" i="9" s="1"/>
  <c r="J199" i="9" s="1"/>
  <c r="J198" i="4"/>
  <c r="K198" i="4" s="1"/>
  <c r="G199" i="4" s="1"/>
  <c r="I199" i="4" s="1"/>
  <c r="K199" i="9" l="1"/>
  <c r="L199" i="9" s="1"/>
  <c r="H200" i="9" s="1"/>
  <c r="J200" i="9" s="1"/>
  <c r="J199" i="4"/>
  <c r="K199" i="4" s="1"/>
  <c r="G200" i="4" s="1"/>
  <c r="I200" i="4" s="1"/>
  <c r="K200" i="9" l="1"/>
  <c r="L200" i="9" s="1"/>
  <c r="H201" i="9" s="1"/>
  <c r="J201" i="9" s="1"/>
  <c r="J200" i="4"/>
  <c r="K200" i="4" s="1"/>
  <c r="G201" i="4" s="1"/>
  <c r="I201" i="4" s="1"/>
  <c r="K201" i="9" l="1"/>
  <c r="L201" i="9" s="1"/>
  <c r="H202" i="9" s="1"/>
  <c r="J202" i="9" s="1"/>
  <c r="J201" i="4"/>
  <c r="K201" i="4" s="1"/>
  <c r="G202" i="4" s="1"/>
  <c r="I202" i="4" s="1"/>
  <c r="K202" i="9" l="1"/>
  <c r="L202" i="9" s="1"/>
  <c r="H203" i="9" s="1"/>
  <c r="J203" i="9" s="1"/>
  <c r="J202" i="4"/>
  <c r="K202" i="4" s="1"/>
  <c r="G203" i="4" s="1"/>
  <c r="I203" i="4" s="1"/>
  <c r="K203" i="9" l="1"/>
  <c r="L203" i="9" s="1"/>
  <c r="H204" i="9" s="1"/>
  <c r="J204" i="9" s="1"/>
  <c r="J203" i="4"/>
  <c r="K203" i="4" s="1"/>
  <c r="G204" i="4" s="1"/>
  <c r="I204" i="4" s="1"/>
  <c r="K204" i="9" l="1"/>
  <c r="L204" i="9" s="1"/>
  <c r="H205" i="9" s="1"/>
  <c r="J205" i="9" s="1"/>
  <c r="J204" i="4"/>
  <c r="K204" i="4" s="1"/>
  <c r="G205" i="4" s="1"/>
  <c r="I205" i="4" s="1"/>
  <c r="K205" i="9" l="1"/>
  <c r="L205" i="9" s="1"/>
  <c r="H206" i="9" s="1"/>
  <c r="J206" i="9" s="1"/>
  <c r="J205" i="4"/>
  <c r="K205" i="4" s="1"/>
  <c r="G206" i="4" s="1"/>
  <c r="I206" i="4" s="1"/>
  <c r="K206" i="9" l="1"/>
  <c r="L206" i="9" s="1"/>
  <c r="H207" i="9" s="1"/>
  <c r="J207" i="9" s="1"/>
  <c r="J206" i="4"/>
  <c r="K206" i="4" s="1"/>
  <c r="G207" i="4" s="1"/>
  <c r="I207" i="4" s="1"/>
  <c r="K207" i="9" l="1"/>
  <c r="L207" i="9" s="1"/>
  <c r="H208" i="9" s="1"/>
  <c r="J208" i="9" s="1"/>
  <c r="J207" i="4"/>
  <c r="K207" i="4"/>
  <c r="G208" i="4" s="1"/>
  <c r="I208" i="4" s="1"/>
  <c r="K208" i="9" l="1"/>
  <c r="L208" i="9" s="1"/>
  <c r="H209" i="9" s="1"/>
  <c r="J209" i="9" s="1"/>
  <c r="J208" i="4"/>
  <c r="K208" i="4" s="1"/>
  <c r="G209" i="4" s="1"/>
  <c r="I209" i="4" s="1"/>
  <c r="K209" i="9" l="1"/>
  <c r="L209" i="9" s="1"/>
  <c r="H210" i="9" s="1"/>
  <c r="J210" i="9" s="1"/>
  <c r="J209" i="4"/>
  <c r="K209" i="4" s="1"/>
  <c r="G210" i="4" s="1"/>
  <c r="I210" i="4" s="1"/>
  <c r="K210" i="9" l="1"/>
  <c r="L210" i="9" s="1"/>
  <c r="H211" i="9" s="1"/>
  <c r="J211" i="9" s="1"/>
  <c r="J210" i="4"/>
  <c r="K210" i="4" s="1"/>
  <c r="G211" i="4" s="1"/>
  <c r="I211" i="4" s="1"/>
  <c r="K211" i="9" l="1"/>
  <c r="L211" i="9" s="1"/>
  <c r="H212" i="9" s="1"/>
  <c r="J212" i="9" s="1"/>
  <c r="J211" i="4"/>
  <c r="K211" i="4" s="1"/>
  <c r="G212" i="4" s="1"/>
  <c r="I212" i="4" s="1"/>
  <c r="K212" i="9" l="1"/>
  <c r="L212" i="9" s="1"/>
  <c r="H213" i="9" s="1"/>
  <c r="J213" i="9" s="1"/>
  <c r="J212" i="4"/>
  <c r="K212" i="4" s="1"/>
  <c r="G213" i="4" s="1"/>
  <c r="I213" i="4" s="1"/>
  <c r="K213" i="9" l="1"/>
  <c r="L213" i="9" s="1"/>
  <c r="H214" i="9" s="1"/>
  <c r="J214" i="9" s="1"/>
  <c r="J213" i="4"/>
  <c r="K213" i="4" s="1"/>
  <c r="G214" i="4" s="1"/>
  <c r="I214" i="4" s="1"/>
  <c r="K214" i="9" l="1"/>
  <c r="L214" i="9" s="1"/>
  <c r="H215" i="9" s="1"/>
  <c r="J215" i="9" s="1"/>
  <c r="J214" i="4"/>
  <c r="K214" i="4" s="1"/>
  <c r="G215" i="4" s="1"/>
  <c r="I215" i="4" s="1"/>
  <c r="K215" i="9" l="1"/>
  <c r="L215" i="9" s="1"/>
  <c r="H216" i="9" s="1"/>
  <c r="J216" i="9" s="1"/>
  <c r="J215" i="4"/>
  <c r="K215" i="4"/>
  <c r="G216" i="4" s="1"/>
  <c r="I216" i="4" s="1"/>
  <c r="K216" i="9" l="1"/>
  <c r="L216" i="9" s="1"/>
  <c r="H217" i="9" s="1"/>
  <c r="J217" i="9" s="1"/>
  <c r="J216" i="4"/>
  <c r="K216" i="4" s="1"/>
  <c r="G217" i="4" s="1"/>
  <c r="I217" i="4" s="1"/>
  <c r="K217" i="9" l="1"/>
  <c r="L217" i="9" s="1"/>
  <c r="H218" i="9" s="1"/>
  <c r="J218" i="9" s="1"/>
  <c r="J217" i="4"/>
  <c r="K217" i="4" s="1"/>
  <c r="G218" i="4" s="1"/>
  <c r="I218" i="4" s="1"/>
  <c r="K218" i="9" l="1"/>
  <c r="L218" i="9" s="1"/>
  <c r="H219" i="9" s="1"/>
  <c r="J219" i="9" s="1"/>
  <c r="J218" i="4"/>
  <c r="K218" i="4" s="1"/>
  <c r="G219" i="4" s="1"/>
  <c r="I219" i="4" s="1"/>
  <c r="K219" i="9" l="1"/>
  <c r="L219" i="9" s="1"/>
  <c r="H220" i="9" s="1"/>
  <c r="J220" i="9" s="1"/>
  <c r="J219" i="4"/>
  <c r="K219" i="4" s="1"/>
  <c r="G220" i="4" s="1"/>
  <c r="I220" i="4" s="1"/>
  <c r="K220" i="9" l="1"/>
  <c r="L220" i="9" s="1"/>
  <c r="H221" i="9" s="1"/>
  <c r="J221" i="9" s="1"/>
  <c r="J220" i="4"/>
  <c r="K220" i="4"/>
  <c r="G221" i="4" s="1"/>
  <c r="I221" i="4" s="1"/>
  <c r="K221" i="9" l="1"/>
  <c r="L221" i="9" s="1"/>
  <c r="H222" i="9" s="1"/>
  <c r="J222" i="9" s="1"/>
  <c r="J221" i="4"/>
  <c r="K221" i="4" s="1"/>
  <c r="G222" i="4" s="1"/>
  <c r="I222" i="4" s="1"/>
  <c r="K222" i="9" l="1"/>
  <c r="L222" i="9" s="1"/>
  <c r="H223" i="9" s="1"/>
  <c r="J223" i="9" s="1"/>
  <c r="J222" i="4"/>
  <c r="K222" i="4" s="1"/>
  <c r="G223" i="4" s="1"/>
  <c r="I223" i="4" s="1"/>
  <c r="K223" i="9" l="1"/>
  <c r="L223" i="9" s="1"/>
  <c r="H224" i="9" s="1"/>
  <c r="J224" i="9" s="1"/>
  <c r="J223" i="4"/>
  <c r="K223" i="4" s="1"/>
  <c r="G224" i="4" s="1"/>
  <c r="I224" i="4" s="1"/>
  <c r="K224" i="9" l="1"/>
  <c r="L224" i="9" s="1"/>
  <c r="H225" i="9" s="1"/>
  <c r="J225" i="9" s="1"/>
  <c r="J224" i="4"/>
  <c r="K224" i="4" s="1"/>
  <c r="G225" i="4" s="1"/>
  <c r="I225" i="4" s="1"/>
  <c r="K225" i="9" l="1"/>
  <c r="L225" i="9" s="1"/>
  <c r="H226" i="9" s="1"/>
  <c r="J226" i="9" s="1"/>
  <c r="J225" i="4"/>
  <c r="K225" i="4" s="1"/>
  <c r="G226" i="4" s="1"/>
  <c r="I226" i="4" s="1"/>
  <c r="K226" i="9" l="1"/>
  <c r="L226" i="9" s="1"/>
  <c r="H227" i="9" s="1"/>
  <c r="J227" i="9" s="1"/>
  <c r="J226" i="4"/>
  <c r="K226" i="4" s="1"/>
  <c r="G227" i="4" s="1"/>
  <c r="I227" i="4" s="1"/>
  <c r="K227" i="9" l="1"/>
  <c r="L227" i="9" s="1"/>
  <c r="H228" i="9" s="1"/>
  <c r="J228" i="9" s="1"/>
  <c r="J227" i="4"/>
  <c r="K227" i="4" s="1"/>
  <c r="G228" i="4" s="1"/>
  <c r="I228" i="4" s="1"/>
  <c r="K228" i="9" l="1"/>
  <c r="L228" i="9" s="1"/>
  <c r="H229" i="9" s="1"/>
  <c r="J229" i="9" s="1"/>
  <c r="J228" i="4"/>
  <c r="K228" i="4" s="1"/>
  <c r="G229" i="4" s="1"/>
  <c r="I229" i="4" s="1"/>
  <c r="K229" i="9" l="1"/>
  <c r="L229" i="9" s="1"/>
  <c r="H230" i="9" s="1"/>
  <c r="J230" i="9" s="1"/>
  <c r="J229" i="4"/>
  <c r="K229" i="4" s="1"/>
  <c r="G230" i="4" s="1"/>
  <c r="I230" i="4" s="1"/>
  <c r="K230" i="9" l="1"/>
  <c r="L230" i="9" s="1"/>
  <c r="H231" i="9" s="1"/>
  <c r="J231" i="9" s="1"/>
  <c r="J230" i="4"/>
  <c r="K230" i="4" s="1"/>
  <c r="G231" i="4" s="1"/>
  <c r="I231" i="4" s="1"/>
  <c r="K231" i="9" l="1"/>
  <c r="L231" i="9" s="1"/>
  <c r="H232" i="9" s="1"/>
  <c r="J232" i="9" s="1"/>
  <c r="J231" i="4"/>
  <c r="K231" i="4"/>
  <c r="G232" i="4" s="1"/>
  <c r="I232" i="4" s="1"/>
  <c r="K232" i="9" l="1"/>
  <c r="L232" i="9" s="1"/>
  <c r="H233" i="9" s="1"/>
  <c r="J233" i="9" s="1"/>
  <c r="J232" i="4"/>
  <c r="K232" i="4"/>
  <c r="G233" i="4" s="1"/>
  <c r="I233" i="4" s="1"/>
  <c r="K233" i="9" l="1"/>
  <c r="L233" i="9" s="1"/>
  <c r="H234" i="9" s="1"/>
  <c r="J234" i="9" s="1"/>
  <c r="J233" i="4"/>
  <c r="K233" i="4" s="1"/>
  <c r="G234" i="4" s="1"/>
  <c r="I234" i="4" s="1"/>
  <c r="K234" i="9" l="1"/>
  <c r="L234" i="9" s="1"/>
  <c r="H235" i="9" s="1"/>
  <c r="J235" i="9" s="1"/>
  <c r="J234" i="4"/>
  <c r="K234" i="4" s="1"/>
  <c r="G235" i="4" s="1"/>
  <c r="I235" i="4" s="1"/>
  <c r="K235" i="9" l="1"/>
  <c r="L235" i="9" s="1"/>
  <c r="H236" i="9" s="1"/>
  <c r="J236" i="9" s="1"/>
  <c r="J235" i="4"/>
  <c r="K235" i="4" s="1"/>
  <c r="G236" i="4" s="1"/>
  <c r="I236" i="4" s="1"/>
  <c r="K236" i="9" l="1"/>
  <c r="L236" i="9" s="1"/>
  <c r="H237" i="9" s="1"/>
  <c r="J237" i="9" s="1"/>
  <c r="J236" i="4"/>
  <c r="K236" i="4" s="1"/>
  <c r="G237" i="4" s="1"/>
  <c r="I237" i="4" s="1"/>
  <c r="K237" i="9" l="1"/>
  <c r="L237" i="9" s="1"/>
  <c r="H238" i="9" s="1"/>
  <c r="J238" i="9" s="1"/>
  <c r="J237" i="4"/>
  <c r="K237" i="4"/>
  <c r="G238" i="4" s="1"/>
  <c r="I238" i="4" s="1"/>
  <c r="K238" i="9" l="1"/>
  <c r="L238" i="9" s="1"/>
  <c r="H239" i="9" s="1"/>
  <c r="J239" i="9" s="1"/>
  <c r="J238" i="4"/>
  <c r="K238" i="4" s="1"/>
  <c r="G239" i="4" s="1"/>
  <c r="I239" i="4" s="1"/>
  <c r="K239" i="9" l="1"/>
  <c r="L239" i="9" s="1"/>
  <c r="H240" i="9" s="1"/>
  <c r="J240" i="9" s="1"/>
  <c r="J239" i="4"/>
  <c r="K239" i="4" s="1"/>
  <c r="G240" i="4" s="1"/>
  <c r="I240" i="4" s="1"/>
  <c r="K240" i="9" l="1"/>
  <c r="L240" i="9" s="1"/>
  <c r="H241" i="9" s="1"/>
  <c r="J241" i="9" s="1"/>
  <c r="J240" i="4"/>
  <c r="K240" i="4"/>
  <c r="G241" i="4" s="1"/>
  <c r="I241" i="4" s="1"/>
  <c r="K241" i="9" l="1"/>
  <c r="L241" i="9" s="1"/>
  <c r="H242" i="9" s="1"/>
  <c r="J242" i="9" s="1"/>
  <c r="J241" i="4"/>
  <c r="K241" i="4" s="1"/>
  <c r="G242" i="4" s="1"/>
  <c r="I242" i="4" s="1"/>
  <c r="K242" i="9" l="1"/>
  <c r="L242" i="9" s="1"/>
  <c r="H243" i="9" s="1"/>
  <c r="J243" i="9" s="1"/>
  <c r="J242" i="4"/>
  <c r="K242" i="4" s="1"/>
  <c r="G243" i="4" s="1"/>
  <c r="I243" i="4" s="1"/>
  <c r="K243" i="9" l="1"/>
  <c r="L243" i="9" s="1"/>
  <c r="H244" i="9" s="1"/>
  <c r="J244" i="9" s="1"/>
  <c r="J243" i="4"/>
  <c r="K243" i="4" s="1"/>
  <c r="G244" i="4" s="1"/>
  <c r="I244" i="4" s="1"/>
  <c r="K244" i="9" l="1"/>
  <c r="L244" i="9" s="1"/>
  <c r="H245" i="9" s="1"/>
  <c r="J245" i="9" s="1"/>
  <c r="J244" i="4"/>
  <c r="K244" i="4" s="1"/>
  <c r="G245" i="4" s="1"/>
  <c r="I245" i="4" s="1"/>
  <c r="K245" i="9" l="1"/>
  <c r="L245" i="9" s="1"/>
  <c r="H246" i="9" s="1"/>
  <c r="J246" i="9" s="1"/>
  <c r="J245" i="4"/>
  <c r="K245" i="4" s="1"/>
  <c r="G246" i="4" s="1"/>
  <c r="I246" i="4" s="1"/>
  <c r="K246" i="9" l="1"/>
  <c r="L246" i="9" s="1"/>
  <c r="H247" i="9" s="1"/>
  <c r="J247" i="9" s="1"/>
  <c r="J246" i="4"/>
  <c r="K246" i="4" s="1"/>
  <c r="G247" i="4" s="1"/>
  <c r="I247" i="4" s="1"/>
  <c r="K247" i="9" l="1"/>
  <c r="L247" i="9" s="1"/>
  <c r="H248" i="9" s="1"/>
  <c r="J248" i="9" s="1"/>
  <c r="J247" i="4"/>
  <c r="K247" i="4" s="1"/>
  <c r="G248" i="4" s="1"/>
  <c r="I248" i="4" s="1"/>
  <c r="K248" i="9" l="1"/>
  <c r="L248" i="9" s="1"/>
  <c r="H249" i="9" s="1"/>
  <c r="J249" i="9" s="1"/>
  <c r="J248" i="4"/>
  <c r="K248" i="4" s="1"/>
  <c r="G249" i="4" s="1"/>
  <c r="I249" i="4" s="1"/>
  <c r="K249" i="9" l="1"/>
  <c r="L249" i="9" s="1"/>
  <c r="H250" i="9" s="1"/>
  <c r="J250" i="9" s="1"/>
  <c r="J249" i="4"/>
  <c r="K249" i="4" s="1"/>
  <c r="G250" i="4" s="1"/>
  <c r="I250" i="4" s="1"/>
  <c r="K250" i="9" l="1"/>
  <c r="L250" i="9" s="1"/>
  <c r="H251" i="9" s="1"/>
  <c r="J251" i="9" s="1"/>
  <c r="J250" i="4"/>
  <c r="K250" i="4" s="1"/>
  <c r="G251" i="4" s="1"/>
  <c r="I251" i="4" s="1"/>
  <c r="K251" i="9" l="1"/>
  <c r="L251" i="9" s="1"/>
  <c r="H252" i="9" s="1"/>
  <c r="J252" i="9" s="1"/>
  <c r="J251" i="4"/>
  <c r="K251" i="4" s="1"/>
  <c r="G252" i="4" s="1"/>
  <c r="I252" i="4" s="1"/>
  <c r="K252" i="9" l="1"/>
  <c r="L252" i="9" s="1"/>
  <c r="H253" i="9" s="1"/>
  <c r="J253" i="9" s="1"/>
  <c r="J252" i="4"/>
  <c r="K252" i="4" s="1"/>
  <c r="G253" i="4" s="1"/>
  <c r="I253" i="4" s="1"/>
  <c r="K253" i="9" l="1"/>
  <c r="L253" i="9" s="1"/>
  <c r="H254" i="9" s="1"/>
  <c r="J254" i="9" s="1"/>
  <c r="J253" i="4"/>
  <c r="K253" i="4" s="1"/>
  <c r="G254" i="4" s="1"/>
  <c r="I254" i="4" s="1"/>
  <c r="K254" i="9" l="1"/>
  <c r="L254" i="9" s="1"/>
  <c r="H255" i="9" s="1"/>
  <c r="J255" i="9" s="1"/>
  <c r="J254" i="4"/>
  <c r="K254" i="4" s="1"/>
  <c r="G255" i="4" s="1"/>
  <c r="I255" i="4" s="1"/>
  <c r="K255" i="9" l="1"/>
  <c r="L255" i="9" s="1"/>
  <c r="H256" i="9" s="1"/>
  <c r="J256" i="9" s="1"/>
  <c r="J255" i="4"/>
  <c r="K255" i="4" s="1"/>
  <c r="G256" i="4" s="1"/>
  <c r="I256" i="4" s="1"/>
  <c r="K256" i="9" l="1"/>
  <c r="L256" i="9" s="1"/>
  <c r="H257" i="9" s="1"/>
  <c r="J257" i="9" s="1"/>
  <c r="J256" i="4"/>
  <c r="K256" i="4" s="1"/>
  <c r="G257" i="4" s="1"/>
  <c r="I257" i="4" s="1"/>
  <c r="K257" i="9" l="1"/>
  <c r="L257" i="9" s="1"/>
  <c r="H258" i="9" s="1"/>
  <c r="J258" i="9" s="1"/>
  <c r="J257" i="4"/>
  <c r="K257" i="4" s="1"/>
  <c r="G258" i="4" s="1"/>
  <c r="I258" i="4" s="1"/>
  <c r="K258" i="9" l="1"/>
  <c r="L258" i="9" s="1"/>
  <c r="H259" i="9" s="1"/>
  <c r="J259" i="9" s="1"/>
  <c r="J258" i="4"/>
  <c r="K258" i="4" s="1"/>
  <c r="G259" i="4" s="1"/>
  <c r="I259" i="4" s="1"/>
  <c r="K259" i="9" l="1"/>
  <c r="L259" i="9" s="1"/>
  <c r="H260" i="9" s="1"/>
  <c r="J260" i="9" s="1"/>
  <c r="J259" i="4"/>
  <c r="K259" i="4" s="1"/>
  <c r="G260" i="4" s="1"/>
  <c r="I260" i="4" s="1"/>
  <c r="K260" i="9" l="1"/>
  <c r="L260" i="9" s="1"/>
  <c r="H261" i="9" s="1"/>
  <c r="J261" i="9" s="1"/>
  <c r="J260" i="4"/>
  <c r="K260" i="4" s="1"/>
  <c r="G261" i="4" s="1"/>
  <c r="I261" i="4" s="1"/>
  <c r="K261" i="9" l="1"/>
  <c r="L261" i="9" s="1"/>
  <c r="H262" i="9" s="1"/>
  <c r="J262" i="9" s="1"/>
  <c r="J261" i="4"/>
  <c r="K261" i="4" s="1"/>
  <c r="G262" i="4" s="1"/>
  <c r="I262" i="4" s="1"/>
  <c r="K262" i="9" l="1"/>
  <c r="L262" i="9" s="1"/>
  <c r="H263" i="9" s="1"/>
  <c r="J263" i="9" s="1"/>
  <c r="J262" i="4"/>
  <c r="K262" i="4" s="1"/>
  <c r="G263" i="4" s="1"/>
  <c r="I263" i="4" s="1"/>
  <c r="K263" i="9" l="1"/>
  <c r="L263" i="9" s="1"/>
  <c r="H264" i="9" s="1"/>
  <c r="J264" i="9" s="1"/>
  <c r="J263" i="4"/>
  <c r="K263" i="4"/>
  <c r="G264" i="4" s="1"/>
  <c r="I264" i="4" s="1"/>
  <c r="K264" i="9" l="1"/>
  <c r="L264" i="9" s="1"/>
  <c r="H265" i="9" s="1"/>
  <c r="J265" i="9" s="1"/>
  <c r="J264" i="4"/>
  <c r="K264" i="4" s="1"/>
  <c r="G265" i="4" s="1"/>
  <c r="I265" i="4" s="1"/>
  <c r="K265" i="9" l="1"/>
  <c r="L265" i="9" s="1"/>
  <c r="H266" i="9" s="1"/>
  <c r="J266" i="9" s="1"/>
  <c r="J265" i="4"/>
  <c r="K265" i="4"/>
  <c r="G266" i="4" s="1"/>
  <c r="I266" i="4" s="1"/>
  <c r="K266" i="9" l="1"/>
  <c r="L266" i="9" s="1"/>
  <c r="H267" i="9" s="1"/>
  <c r="J267" i="9" s="1"/>
  <c r="J266" i="4"/>
  <c r="K266" i="4" s="1"/>
  <c r="G267" i="4" s="1"/>
  <c r="I267" i="4" s="1"/>
  <c r="K267" i="9" l="1"/>
  <c r="L267" i="9" s="1"/>
  <c r="H268" i="9" s="1"/>
  <c r="J268" i="9" s="1"/>
  <c r="J267" i="4"/>
  <c r="K267" i="4" s="1"/>
  <c r="G268" i="4" s="1"/>
  <c r="I268" i="4" s="1"/>
  <c r="K268" i="9" l="1"/>
  <c r="L268" i="9" s="1"/>
  <c r="H269" i="9" s="1"/>
  <c r="J269" i="9" s="1"/>
  <c r="J268" i="4"/>
  <c r="K268" i="4" s="1"/>
  <c r="G269" i="4" s="1"/>
  <c r="I269" i="4" s="1"/>
  <c r="K269" i="9" l="1"/>
  <c r="L269" i="9" s="1"/>
  <c r="H270" i="9" s="1"/>
  <c r="J270" i="9" s="1"/>
  <c r="J269" i="4"/>
  <c r="K269" i="4" s="1"/>
  <c r="G270" i="4" s="1"/>
  <c r="I270" i="4" s="1"/>
  <c r="K270" i="9" l="1"/>
  <c r="L270" i="9" s="1"/>
  <c r="H271" i="9" s="1"/>
  <c r="J271" i="9" s="1"/>
  <c r="J270" i="4"/>
  <c r="K270" i="4" s="1"/>
  <c r="G271" i="4" s="1"/>
  <c r="I271" i="4" s="1"/>
  <c r="K271" i="9" l="1"/>
  <c r="L271" i="9" s="1"/>
  <c r="H272" i="9" s="1"/>
  <c r="J272" i="9" s="1"/>
  <c r="J271" i="4"/>
  <c r="K271" i="4" s="1"/>
  <c r="G272" i="4" s="1"/>
  <c r="I272" i="4" s="1"/>
  <c r="K272" i="9" l="1"/>
  <c r="L272" i="9" s="1"/>
  <c r="H273" i="9" s="1"/>
  <c r="J273" i="9" s="1"/>
  <c r="J272" i="4"/>
  <c r="K272" i="4" s="1"/>
  <c r="G273" i="4" s="1"/>
  <c r="I273" i="4" s="1"/>
  <c r="K273" i="9" l="1"/>
  <c r="L273" i="9" s="1"/>
  <c r="H274" i="9" s="1"/>
  <c r="J274" i="9" s="1"/>
  <c r="J273" i="4"/>
  <c r="K273" i="4" s="1"/>
  <c r="G274" i="4" s="1"/>
  <c r="I274" i="4" s="1"/>
  <c r="K274" i="9" l="1"/>
  <c r="L274" i="9" s="1"/>
  <c r="H275" i="9" s="1"/>
  <c r="J275" i="9" s="1"/>
  <c r="J274" i="4"/>
  <c r="K274" i="4" s="1"/>
  <c r="G275" i="4" s="1"/>
  <c r="I275" i="4" s="1"/>
  <c r="K275" i="9" l="1"/>
  <c r="L275" i="9" s="1"/>
  <c r="H276" i="9" s="1"/>
  <c r="J276" i="9" s="1"/>
  <c r="J275" i="4"/>
  <c r="K275" i="4"/>
  <c r="G276" i="4" s="1"/>
  <c r="I276" i="4" s="1"/>
  <c r="K276" i="9" l="1"/>
  <c r="L276" i="9" s="1"/>
  <c r="H277" i="9" s="1"/>
  <c r="J277" i="9" s="1"/>
  <c r="J276" i="4"/>
  <c r="K276" i="4" s="1"/>
  <c r="G277" i="4" s="1"/>
  <c r="I277" i="4" s="1"/>
  <c r="K277" i="9" l="1"/>
  <c r="L277" i="9" s="1"/>
  <c r="H278" i="9" s="1"/>
  <c r="J278" i="9" s="1"/>
  <c r="J277" i="4"/>
  <c r="K277" i="4" s="1"/>
  <c r="G278" i="4" s="1"/>
  <c r="I278" i="4" s="1"/>
  <c r="K278" i="9" l="1"/>
  <c r="L278" i="9" s="1"/>
  <c r="H279" i="9" s="1"/>
  <c r="J279" i="9" s="1"/>
  <c r="J278" i="4"/>
  <c r="K278" i="4" s="1"/>
  <c r="G279" i="4" s="1"/>
  <c r="I279" i="4" s="1"/>
  <c r="K279" i="9" l="1"/>
  <c r="L279" i="9" s="1"/>
  <c r="H280" i="9" s="1"/>
  <c r="J280" i="9" s="1"/>
  <c r="J279" i="4"/>
  <c r="K279" i="4" s="1"/>
  <c r="G280" i="4" s="1"/>
  <c r="I280" i="4" s="1"/>
  <c r="K280" i="9" l="1"/>
  <c r="L280" i="9" s="1"/>
  <c r="H281" i="9" s="1"/>
  <c r="J281" i="9" s="1"/>
  <c r="J280" i="4"/>
  <c r="K280" i="4" s="1"/>
  <c r="G281" i="4" s="1"/>
  <c r="I281" i="4" s="1"/>
  <c r="K281" i="9" l="1"/>
  <c r="L281" i="9" s="1"/>
  <c r="H282" i="9" s="1"/>
  <c r="J282" i="9" s="1"/>
  <c r="J281" i="4"/>
  <c r="K281" i="4" s="1"/>
  <c r="G282" i="4" s="1"/>
  <c r="I282" i="4" s="1"/>
  <c r="K282" i="9" l="1"/>
  <c r="L282" i="9" s="1"/>
  <c r="H283" i="9" s="1"/>
  <c r="J283" i="9" s="1"/>
  <c r="J282" i="4"/>
  <c r="K282" i="4" s="1"/>
  <c r="G283" i="4" s="1"/>
  <c r="I283" i="4" s="1"/>
  <c r="K283" i="9" l="1"/>
  <c r="L283" i="9" s="1"/>
  <c r="H284" i="9" s="1"/>
  <c r="J284" i="9" s="1"/>
  <c r="J283" i="4"/>
  <c r="K283" i="4" s="1"/>
  <c r="G284" i="4" s="1"/>
  <c r="I284" i="4" s="1"/>
  <c r="K284" i="9" l="1"/>
  <c r="L284" i="9" s="1"/>
  <c r="H285" i="9" s="1"/>
  <c r="J285" i="9" s="1"/>
  <c r="J284" i="4"/>
  <c r="K284" i="4" s="1"/>
  <c r="G285" i="4" s="1"/>
  <c r="I285" i="4" s="1"/>
  <c r="K285" i="9" l="1"/>
  <c r="L285" i="9" s="1"/>
  <c r="H286" i="9" s="1"/>
  <c r="J286" i="9" s="1"/>
  <c r="J285" i="4"/>
  <c r="K285" i="4" s="1"/>
  <c r="G286" i="4" s="1"/>
  <c r="I286" i="4" s="1"/>
  <c r="K286" i="9" l="1"/>
  <c r="L286" i="9" s="1"/>
  <c r="H287" i="9" s="1"/>
  <c r="J287" i="9" s="1"/>
  <c r="J286" i="4"/>
  <c r="K286" i="4" s="1"/>
  <c r="G287" i="4" s="1"/>
  <c r="I287" i="4" s="1"/>
  <c r="K287" i="9" l="1"/>
  <c r="L287" i="9" s="1"/>
  <c r="H288" i="9" s="1"/>
  <c r="J288" i="9" s="1"/>
  <c r="J287" i="4"/>
  <c r="K287" i="4" s="1"/>
  <c r="G288" i="4" s="1"/>
  <c r="I288" i="4" s="1"/>
  <c r="K288" i="9" l="1"/>
  <c r="L288" i="9" s="1"/>
  <c r="H289" i="9" s="1"/>
  <c r="J289" i="9" s="1"/>
  <c r="J288" i="4"/>
  <c r="K288" i="4" s="1"/>
  <c r="G289" i="4" s="1"/>
  <c r="I289" i="4" s="1"/>
  <c r="K289" i="9" l="1"/>
  <c r="L289" i="9" s="1"/>
  <c r="H290" i="9" s="1"/>
  <c r="J290" i="9" s="1"/>
  <c r="J289" i="4"/>
  <c r="K289" i="4"/>
  <c r="G290" i="4" s="1"/>
  <c r="I290" i="4" s="1"/>
  <c r="K290" i="9" l="1"/>
  <c r="L290" i="9" s="1"/>
  <c r="H291" i="9" s="1"/>
  <c r="J291" i="9" s="1"/>
  <c r="J290" i="4"/>
  <c r="K290" i="4" s="1"/>
  <c r="G291" i="4" s="1"/>
  <c r="I291" i="4" s="1"/>
  <c r="K291" i="9" l="1"/>
  <c r="L291" i="9" s="1"/>
  <c r="H292" i="9" s="1"/>
  <c r="J292" i="9" s="1"/>
  <c r="J291" i="4"/>
  <c r="K291" i="4" s="1"/>
  <c r="G292" i="4" s="1"/>
  <c r="I292" i="4" s="1"/>
  <c r="K292" i="9" l="1"/>
  <c r="L292" i="9" s="1"/>
  <c r="H293" i="9" s="1"/>
  <c r="J292" i="4"/>
  <c r="K292" i="4" s="1"/>
  <c r="G293" i="4" s="1"/>
  <c r="I293" i="4" s="1"/>
  <c r="K293" i="9" l="1"/>
  <c r="L293" i="9" s="1"/>
  <c r="H294" i="9" s="1"/>
  <c r="J294" i="9" s="1"/>
  <c r="J293" i="4"/>
  <c r="K293" i="4" s="1"/>
  <c r="G294" i="4" s="1"/>
  <c r="I294" i="4" s="1"/>
  <c r="K294" i="9" l="1"/>
  <c r="L294" i="9" s="1"/>
  <c r="H295" i="9" s="1"/>
  <c r="J295" i="9" s="1"/>
  <c r="J294" i="4"/>
  <c r="K294" i="4" s="1"/>
  <c r="G295" i="4" s="1"/>
  <c r="I295" i="4" s="1"/>
  <c r="K295" i="9" l="1"/>
  <c r="L295" i="9" s="1"/>
  <c r="H296" i="9" s="1"/>
  <c r="J296" i="9" s="1"/>
  <c r="J295" i="4"/>
  <c r="K295" i="4" s="1"/>
  <c r="G296" i="4" s="1"/>
  <c r="I296" i="4" s="1"/>
  <c r="K296" i="9" l="1"/>
  <c r="L296" i="9" s="1"/>
  <c r="H297" i="9" s="1"/>
  <c r="J297" i="9" s="1"/>
  <c r="J296" i="4"/>
  <c r="K296" i="4" s="1"/>
  <c r="G297" i="4" s="1"/>
  <c r="I297" i="4" s="1"/>
  <c r="K297" i="9" l="1"/>
  <c r="L297" i="9" s="1"/>
  <c r="H298" i="9" s="1"/>
  <c r="J298" i="9" s="1"/>
  <c r="J297" i="4"/>
  <c r="K297" i="4" s="1"/>
  <c r="G298" i="4" s="1"/>
  <c r="I298" i="4" s="1"/>
  <c r="K298" i="9" l="1"/>
  <c r="L298" i="9" s="1"/>
  <c r="H299" i="9" s="1"/>
  <c r="J299" i="9" s="1"/>
  <c r="J298" i="4"/>
  <c r="K298" i="4" s="1"/>
  <c r="G299" i="4" s="1"/>
  <c r="I299" i="4" s="1"/>
  <c r="K299" i="9" l="1"/>
  <c r="L299" i="9" s="1"/>
  <c r="H300" i="9" s="1"/>
  <c r="J300" i="9" s="1"/>
  <c r="J299" i="4"/>
  <c r="K299" i="4" s="1"/>
  <c r="G300" i="4" s="1"/>
  <c r="I300" i="4" s="1"/>
  <c r="K300" i="9" l="1"/>
  <c r="L300" i="9" s="1"/>
  <c r="H301" i="9" s="1"/>
  <c r="J301" i="9" s="1"/>
  <c r="J300" i="4"/>
  <c r="K300" i="4" s="1"/>
  <c r="G301" i="4" s="1"/>
  <c r="I301" i="4" s="1"/>
  <c r="K301" i="9" l="1"/>
  <c r="L301" i="9" s="1"/>
  <c r="H302" i="9" s="1"/>
  <c r="J302" i="9" s="1"/>
  <c r="J301" i="4"/>
  <c r="K301" i="4" s="1"/>
  <c r="G302" i="4" s="1"/>
  <c r="K302" i="9" l="1"/>
  <c r="L302" i="9" s="1"/>
  <c r="I302" i="4"/>
  <c r="J302" i="4" s="1"/>
  <c r="K302" i="4" s="1"/>
</calcChain>
</file>

<file path=xl/sharedStrings.xml><?xml version="1.0" encoding="utf-8"?>
<sst xmlns="http://schemas.openxmlformats.org/spreadsheetml/2006/main" count="235" uniqueCount="82">
  <si>
    <t>Loan Principal (A)</t>
  </si>
  <si>
    <t>Interest Rate (i)</t>
  </si>
  <si>
    <t>Term (n)</t>
  </si>
  <si>
    <t>Annual Installment (R)</t>
  </si>
  <si>
    <t>Period (k)</t>
  </si>
  <si>
    <t>Opening Balance</t>
  </si>
  <si>
    <t>Installment (R)</t>
  </si>
  <si>
    <t>Interest (I)</t>
  </si>
  <si>
    <t>Principal Repaid (P)</t>
  </si>
  <si>
    <t>Closing Balance</t>
  </si>
  <si>
    <t>Input</t>
  </si>
  <si>
    <t>Amount</t>
  </si>
  <si>
    <t>Loan Amount</t>
  </si>
  <si>
    <t>Annual Rate (j12)</t>
  </si>
  <si>
    <t>Monthly Rate (i)</t>
  </si>
  <si>
    <t>Total Months (n)</t>
  </si>
  <si>
    <t>Period to Check (k)</t>
  </si>
  <si>
    <t>Monthly Installment</t>
  </si>
  <si>
    <t>Prospective</t>
  </si>
  <si>
    <t>Retrospective</t>
  </si>
  <si>
    <t xml:space="preserve">Method </t>
  </si>
  <si>
    <t>For 0-5 years</t>
  </si>
  <si>
    <t>Balance at 5 years</t>
  </si>
  <si>
    <t>For 5-25 years</t>
  </si>
  <si>
    <t>Interest(Flat basis)</t>
  </si>
  <si>
    <t>Loan Interest</t>
  </si>
  <si>
    <t>Duration in years</t>
  </si>
  <si>
    <t>Number of unit interest</t>
  </si>
  <si>
    <t>Value of unit of interest</t>
  </si>
  <si>
    <t>Interest Due (I)</t>
  </si>
  <si>
    <t>Period</t>
  </si>
  <si>
    <t xml:space="preserve">Period </t>
  </si>
  <si>
    <t>Unit Interest</t>
  </si>
  <si>
    <t>Answer</t>
  </si>
  <si>
    <t>a.</t>
  </si>
  <si>
    <t>b.</t>
  </si>
  <si>
    <t>c.</t>
  </si>
  <si>
    <t>List of function</t>
  </si>
  <si>
    <t>PV</t>
  </si>
  <si>
    <t>FV</t>
  </si>
  <si>
    <t>PMT</t>
  </si>
  <si>
    <t>NPER</t>
  </si>
  <si>
    <t>Returns the number of periods for an investment based on periodic, constant payments and a constant interest rate.</t>
  </si>
  <si>
    <t>calculates the payment for a loan based on constant payments and a constant interest rate.</t>
  </si>
  <si>
    <t>Present Value</t>
  </si>
  <si>
    <t>Future Value</t>
  </si>
  <si>
    <t>Details</t>
  </si>
  <si>
    <t>retro</t>
  </si>
  <si>
    <t>prospective</t>
  </si>
  <si>
    <t>method</t>
  </si>
  <si>
    <t>value</t>
  </si>
  <si>
    <t>retrospective</t>
  </si>
  <si>
    <t>opening balance</t>
  </si>
  <si>
    <t>interest</t>
  </si>
  <si>
    <t xml:space="preserve">monthly installment </t>
  </si>
  <si>
    <t>principal paid</t>
  </si>
  <si>
    <t>closing balance</t>
  </si>
  <si>
    <t>period</t>
  </si>
  <si>
    <t>monthly installment</t>
  </si>
  <si>
    <t>input</t>
  </si>
  <si>
    <t>amount</t>
  </si>
  <si>
    <t>loan principal</t>
  </si>
  <si>
    <t>interest rates</t>
  </si>
  <si>
    <t>monthly instalment</t>
  </si>
  <si>
    <t>new n</t>
  </si>
  <si>
    <t>PV at 36th month</t>
  </si>
  <si>
    <t>n (years)</t>
  </si>
  <si>
    <t>n (month)</t>
  </si>
  <si>
    <t>monhly installment</t>
  </si>
  <si>
    <t>month saved</t>
  </si>
  <si>
    <t>outstanding balance at 10th year</t>
  </si>
  <si>
    <t>new interest rates</t>
  </si>
  <si>
    <t>monthly interest rates</t>
  </si>
  <si>
    <t>remaining n</t>
  </si>
  <si>
    <t>new monthly installment</t>
  </si>
  <si>
    <t>saved monthly installment</t>
  </si>
  <si>
    <t>interest paid at 60th month</t>
  </si>
  <si>
    <t>unit interest</t>
  </si>
  <si>
    <t>principal repaid</t>
  </si>
  <si>
    <t>for compund interest</t>
  </si>
  <si>
    <t>PV at 60th month</t>
  </si>
  <si>
    <t>interest rates at 60th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</si>
</sst>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M&quot;#,##0.00;[Red]\-&quot;RM&quot;#,##0.00"/>
    <numFmt numFmtId="44" formatCode="_-&quot;RM&quot;* #,##0.00_-;\-&quot;RM&quot;* #,##0.00_-;_-&quot;RM&quot;* &quot;-&quot;??_-;_-@_-"/>
    <numFmt numFmtId="164" formatCode="_-[$RM-4409]* #,##0.00_-;\-[$RM-4409]* #,##0.00_-;_-[$RM-4409]* &quot;-&quot;??_-;_-@_-"/>
    <numFmt numFmtId="165" formatCode="_-[$RM-4409]* #,##0.0000_-;\-[$RM-4409]* #,##0.0000_-;_-[$RM-4409]* &quot;-&quot;??_-;_-@_-"/>
  </numFmts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masis MT Pro Medium"/>
      <family val="1"/>
    </font>
    <font>
      <b/>
      <sz val="11"/>
      <name val="Amasis MT Pro Medium"/>
      <family val="1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80">
    <xf numFmtId="0" fontId="0" fillId="0" borderId="0" xfId="0"/>
    <xf numFmtId="8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8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8" fontId="0" fillId="0" borderId="3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165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8" fontId="0" fillId="3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0" borderId="0" xfId="0" applyNumberFormat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0" xfId="0" applyFont="1" applyFill="1"/>
    <xf numFmtId="2" fontId="2" fillId="3" borderId="0" xfId="0" applyNumberFormat="1" applyFont="1" applyFill="1"/>
    <xf numFmtId="0" fontId="0" fillId="3" borderId="6" xfId="0" applyFill="1" applyBorder="1"/>
    <xf numFmtId="8" fontId="0" fillId="3" borderId="6" xfId="0" applyNumberFormat="1" applyFill="1" applyBorder="1"/>
    <xf numFmtId="164" fontId="0" fillId="3" borderId="6" xfId="0" applyNumberFormat="1" applyFill="1" applyBorder="1"/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8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8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8" xfId="0" applyFont="1" applyBorder="1"/>
    <xf numFmtId="0" fontId="0" fillId="4" borderId="10" xfId="0" applyFont="1" applyFill="1" applyBorder="1"/>
    <xf numFmtId="8" fontId="0" fillId="4" borderId="10" xfId="0" applyNumberFormat="1" applyFont="1" applyFill="1" applyBorder="1"/>
    <xf numFmtId="0" fontId="0" fillId="0" borderId="8" xfId="0" applyFont="1" applyBorder="1"/>
    <xf numFmtId="8" fontId="0" fillId="0" borderId="8" xfId="0" applyNumberFormat="1" applyFont="1" applyBorder="1"/>
    <xf numFmtId="0" fontId="0" fillId="4" borderId="8" xfId="0" applyFont="1" applyFill="1" applyBorder="1"/>
    <xf numFmtId="8" fontId="0" fillId="4" borderId="8" xfId="0" applyNumberFormat="1" applyFont="1" applyFill="1" applyBorder="1"/>
    <xf numFmtId="0" fontId="0" fillId="4" borderId="12" xfId="0" applyFont="1" applyFill="1" applyBorder="1"/>
    <xf numFmtId="8" fontId="0" fillId="4" borderId="12" xfId="0" applyNumberFormat="1" applyFont="1" applyFill="1" applyBorder="1"/>
    <xf numFmtId="44" fontId="7" fillId="0" borderId="8" xfId="1" applyFont="1" applyBorder="1"/>
    <xf numFmtId="44" fontId="0" fillId="4" borderId="10" xfId="1" applyFont="1" applyFill="1" applyBorder="1"/>
    <xf numFmtId="44" fontId="0" fillId="0" borderId="8" xfId="1" applyFont="1" applyBorder="1"/>
    <xf numFmtId="44" fontId="0" fillId="4" borderId="8" xfId="1" applyFont="1" applyFill="1" applyBorder="1"/>
    <xf numFmtId="44" fontId="0" fillId="4" borderId="12" xfId="1" applyFont="1" applyFill="1" applyBorder="1"/>
    <xf numFmtId="44" fontId="0" fillId="0" borderId="0" xfId="1" applyFont="1"/>
    <xf numFmtId="44" fontId="7" fillId="0" borderId="9" xfId="1" applyFont="1" applyBorder="1"/>
    <xf numFmtId="44" fontId="0" fillId="4" borderId="11" xfId="1" applyFont="1" applyFill="1" applyBorder="1"/>
    <xf numFmtId="44" fontId="0" fillId="0" borderId="9" xfId="1" applyFont="1" applyBorder="1"/>
    <xf numFmtId="44" fontId="0" fillId="4" borderId="9" xfId="1" applyFont="1" applyFill="1" applyBorder="1"/>
    <xf numFmtId="44" fontId="0" fillId="4" borderId="7" xfId="1" applyFont="1" applyFill="1" applyBorder="1"/>
    <xf numFmtId="44" fontId="5" fillId="0" borderId="0" xfId="1" applyFont="1" applyAlignment="1">
      <alignment horizontal="center"/>
    </xf>
    <xf numFmtId="44" fontId="5" fillId="0" borderId="0" xfId="1" applyFont="1" applyAlignment="1">
      <alignment horizontal="right"/>
    </xf>
    <xf numFmtId="44" fontId="8" fillId="0" borderId="0" xfId="1" applyFont="1" applyAlignment="1">
      <alignment horizontal="right"/>
    </xf>
    <xf numFmtId="0" fontId="0" fillId="6" borderId="1" xfId="0" applyFont="1" applyFill="1" applyBorder="1"/>
    <xf numFmtId="0" fontId="0" fillId="0" borderId="1" xfId="0" applyFont="1" applyBorder="1"/>
    <xf numFmtId="2" fontId="0" fillId="0" borderId="1" xfId="0" applyNumberFormat="1" applyFont="1" applyBorder="1"/>
    <xf numFmtId="2" fontId="0" fillId="6" borderId="1" xfId="0" applyNumberFormat="1" applyFont="1" applyFill="1" applyBorder="1"/>
    <xf numFmtId="2" fontId="0" fillId="0" borderId="0" xfId="1" applyNumberFormat="1" applyFont="1"/>
    <xf numFmtId="0" fontId="1" fillId="5" borderId="2" xfId="0" applyFont="1" applyFill="1" applyBorder="1"/>
    <xf numFmtId="0" fontId="0" fillId="0" borderId="3" xfId="0" applyFont="1" applyBorder="1"/>
    <xf numFmtId="2" fontId="0" fillId="0" borderId="3" xfId="0" applyNumberFormat="1" applyFont="1" applyBorder="1"/>
    <xf numFmtId="0" fontId="9" fillId="0" borderId="1" xfId="0" applyFont="1" applyBorder="1"/>
    <xf numFmtId="2" fontId="9" fillId="0" borderId="1" xfId="0" applyNumberFormat="1" applyFont="1" applyBorder="1"/>
    <xf numFmtId="0" fontId="9" fillId="0" borderId="3" xfId="0" applyFont="1" applyBorder="1"/>
    <xf numFmtId="2" fontId="9" fillId="0" borderId="3" xfId="0" applyNumberFormat="1" applyFont="1" applyBorder="1"/>
    <xf numFmtId="9" fontId="0" fillId="0" borderId="0" xfId="0" applyNumberFormat="1"/>
    <xf numFmtId="0" fontId="0" fillId="3" borderId="0" xfId="0" applyFill="1"/>
    <xf numFmtId="44" fontId="0" fillId="3" borderId="0" xfId="1" applyFont="1" applyFill="1"/>
    <xf numFmtId="8" fontId="0" fillId="3" borderId="0" xfId="0" applyNumberFormat="1" applyFill="1"/>
    <xf numFmtId="2" fontId="0" fillId="3" borderId="0" xfId="1" applyNumberFormat="1" applyFont="1" applyFill="1"/>
    <xf numFmtId="2" fontId="0" fillId="3" borderId="0" xfId="0" applyNumberFormat="1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105">
    <dxf>
      <numFmt numFmtId="2" formatCode="0.00"/>
    </dxf>
    <dxf>
      <numFmt numFmtId="2" formatCode="0.00"/>
    </dxf>
    <dxf>
      <numFmt numFmtId="12" formatCode="&quot;RM&quot;#,##0.00;[Red]\-&quot;RM&quot;#,##0.00"/>
    </dxf>
    <dxf>
      <numFmt numFmtId="34" formatCode="_-&quot;RM&quot;* #,##0.00_-;\-&quot;RM&quot;* #,##0.00_-;_-&quot;RM&quot;* &quot;-&quot;??_-;_-@_-"/>
    </dxf>
    <dxf>
      <numFmt numFmtId="34" formatCode="_-&quot;RM&quot;* #,##0.00_-;\-&quot;RM&quot;* #,##0.00_-;_-&quot;RM&quot;* &quot;-&quot;??_-;_-@_-"/>
    </dxf>
    <dxf>
      <numFmt numFmtId="2" formatCode="0.00"/>
    </dxf>
    <dxf>
      <numFmt numFmtId="2" formatCode="0.00"/>
    </dxf>
    <dxf>
      <numFmt numFmtId="34" formatCode="_-&quot;RM&quot;* #,##0.00_-;\-&quot;RM&quot;* #,##0.00_-;_-&quot;RM&quot;* &quot;-&quot;??_-;_-@_-"/>
    </dxf>
    <dxf>
      <numFmt numFmtId="34" formatCode="_-&quot;RM&quot;* #,##0.00_-;\-&quot;RM&quot;* #,##0.00_-;_-&quot;RM&quot;* &quot;-&quot;??_-;_-@_-"/>
    </dxf>
    <dxf>
      <numFmt numFmtId="2" formatCode="0.00"/>
    </dxf>
    <dxf>
      <numFmt numFmtId="12" formatCode="&quot;RM&quot;#,##0.00;[Red]\-&quot;RM&quot;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2" formatCode="&quot;RM&quot;#,##0.00;[Red]\-&quot;RM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2" formatCode="&quot;RM&quot;#,##0.00;[Red]\-&quot;RM&quot;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2" formatCode="&quot;RM&quot;#,##0.00;[Red]\-&quot;RM&quot;#,##0.00"/>
    </dxf>
    <dxf>
      <numFmt numFmtId="0" formatCode="General"/>
    </dxf>
    <dxf>
      <numFmt numFmtId="12" formatCode="&quot;RM&quot;#,##0.00;[Red]\-&quot;RM&quot;#,##0.00"/>
    </dxf>
    <dxf>
      <numFmt numFmtId="165" formatCode="_-[$RM-4409]* #,##0.0000_-;\-[$RM-4409]* #,##0.0000_-;_-[$RM-4409]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2" formatCode="&quot;RM&quot;#,##0.00;[Red]\-&quot;RM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Medium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64" formatCode="_-[$RM-4409]* #,##0.00_-;\-[$RM-4409]* #,##0.00_-;_-[$RM-4409]* &quot;-&quot;??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64" formatCode="_-[$RM-4409]* #,##0.00_-;\-[$RM-4409]* #,##0.00_-;_-[$RM-4409]* &quot;-&quot;??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Medium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64" formatCode="_-[$RM-4409]* #,##0.00_-;\-[$RM-4409]* #,##0.00_-;_-[$RM-4409]* &quot;-&quot;??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64" formatCode="_-[$RM-4409]* #,##0.00_-;\-[$RM-4409]* #,##0.00_-;_-[$RM-4409]* &quot;-&quot;??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2" formatCode="&quot;RM&quot;#,##0.00;[Red]\-&quot;RM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Medium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  <dxf>
      <font>
        <b/>
        <strike val="0"/>
        <outline val="0"/>
        <shadow val="0"/>
        <u val="none"/>
        <vertAlign val="baseline"/>
        <color auto="1"/>
        <name val="Amasis MT Pro Medium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603249</xdr:colOff>
      <xdr:row>1</xdr:row>
      <xdr:rowOff>137584</xdr:rowOff>
    </xdr:from>
    <xdr:to>
      <xdr:col>19</xdr:col>
      <xdr:colOff>587375</xdr:colOff>
      <xdr:row>9</xdr:row>
      <xdr:rowOff>135198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23866-564E-5794-1A5E-A475FEDA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499" y="338667"/>
          <a:ext cx="7342506" cy="1779424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5</xdr:row>
      <xdr:rowOff>9525</xdr:rowOff>
    </xdr:from>
    <xdr:to>
      <xdr:col>19</xdr:col>
      <xdr:colOff>71212</xdr:colOff>
      <xdr:row>12</xdr:row>
      <xdr:rowOff>156818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23866-564E-5794-1A5E-A475FEDA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914400"/>
          <a:ext cx="8148412" cy="1766543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53340</xdr:rowOff>
    </xdr:from>
    <xdr:to>
      <xdr:col>1</xdr:col>
      <xdr:colOff>554587</xdr:colOff>
      <xdr:row>18</xdr:row>
      <xdr:rowOff>9583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7124B-8D7A-62BE-3363-25B66CDB3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6990"/>
          <a:ext cx="2669137" cy="6801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409576</xdr:colOff>
      <xdr:row>13</xdr:row>
      <xdr:rowOff>34290</xdr:rowOff>
    </xdr:from>
    <xdr:to>
      <xdr:col>0</xdr:col>
      <xdr:colOff>1704976</xdr:colOff>
      <xdr:row>14</xdr:row>
      <xdr:rowOff>100965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816A0C-92A7-62D8-1665-1B385D53321C}"/>
            </a:ext>
          </a:extLst>
        </xdr:cNvPr>
        <xdr:cNvSpPr/>
      </xdr:nvSpPr>
      <xdr:spPr>
        <a:xfrm>
          <a:off x="409576" y="2386965"/>
          <a:ext cx="1295400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RETROSPECTIVE</a:t>
          </a:r>
        </a:p>
      </xdr:txBody>
    </xdr:sp>
    <xdr:clientData/>
  </xdr:twoCellAnchor>
  <xdr:twoCellAnchor editAs="oneCell">
    <xdr:from>
      <xdr:col>0</xdr:col>
      <xdr:colOff>0</xdr:colOff>
      <xdr:row>22</xdr:row>
      <xdr:rowOff>102870</xdr:rowOff>
    </xdr:from>
    <xdr:to>
      <xdr:col>4</xdr:col>
      <xdr:colOff>648182</xdr:colOff>
      <xdr:row>32</xdr:row>
      <xdr:rowOff>55398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D7B1E2-F25D-E284-AF88-EBF29BBCD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84320"/>
          <a:ext cx="5563082" cy="176227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190500</xdr:colOff>
      <xdr:row>21</xdr:row>
      <xdr:rowOff>95250</xdr:rowOff>
    </xdr:from>
    <xdr:to>
      <xdr:col>0</xdr:col>
      <xdr:colOff>1482090</xdr:colOff>
      <xdr:row>22</xdr:row>
      <xdr:rowOff>150495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500E3F6-B3B2-4E34-9437-C1C4D2C0BAB7}"/>
            </a:ext>
          </a:extLst>
        </xdr:cNvPr>
        <xdr:cNvSpPr/>
      </xdr:nvSpPr>
      <xdr:spPr>
        <a:xfrm>
          <a:off x="190500" y="3905250"/>
          <a:ext cx="1291590" cy="2362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PROSPECTIVE</a:t>
          </a:r>
        </a:p>
      </xdr:txBody>
    </xdr:sp>
    <xdr:clientData/>
  </xdr:twoCellAnchor>
  <xdr:twoCellAnchor editAs="oneCell">
    <xdr:from>
      <xdr:col>5</xdr:col>
      <xdr:colOff>381000</xdr:colOff>
      <xdr:row>24</xdr:row>
      <xdr:rowOff>28575</xdr:rowOff>
    </xdr:from>
    <xdr:to>
      <xdr:col>13</xdr:col>
      <xdr:colOff>343525</xdr:colOff>
      <xdr:row>29</xdr:row>
      <xdr:rowOff>116291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F6B2D0-C609-B373-C4D3-D87E506F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8375" y="4371975"/>
          <a:ext cx="7211050" cy="99259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11</xdr:row>
      <xdr:rowOff>123826</xdr:rowOff>
    </xdr:from>
    <xdr:to>
      <xdr:col>0</xdr:col>
      <xdr:colOff>2247900</xdr:colOff>
      <xdr:row>14</xdr:row>
      <xdr:rowOff>57097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7124B-8D7A-62BE-3363-25B66CDB3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114551"/>
          <a:ext cx="2028825" cy="47619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106267</xdr:colOff>
      <xdr:row>11</xdr:row>
      <xdr:rowOff>111881</xdr:rowOff>
    </xdr:from>
    <xdr:to>
      <xdr:col>3</xdr:col>
      <xdr:colOff>284360</xdr:colOff>
      <xdr:row>15</xdr:row>
      <xdr:rowOff>142628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D7B1E2-F25D-E284-AF88-EBF29BBCD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9586" y="2059027"/>
          <a:ext cx="2622562" cy="7388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6</xdr:col>
      <xdr:colOff>621738</xdr:colOff>
      <xdr:row>8</xdr:row>
      <xdr:rowOff>124415</xdr:rowOff>
    </xdr:from>
    <xdr:ext cx="65" cy="159852"/>
    <xdr:sp macro="" textlink="">
      <xdr:nvSpPr>
        <xdr:cNvPr id="6" name="TextBox 5"/>
        <xdr:cNvSpPr txBox="1"/>
      </xdr:nvSpPr>
      <xdr:spPr>
        <a:xfrm>
          <a:off x="7550543" y="1540521"/>
          <a:ext cx="65" cy="159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217170</xdr:colOff>
      <xdr:row>6</xdr:row>
      <xdr:rowOff>0</xdr:rowOff>
    </xdr:from>
    <xdr:to>
      <xdr:col>22</xdr:col>
      <xdr:colOff>562627</xdr:colOff>
      <xdr:row>20</xdr:row>
      <xdr:rowOff>72616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F2333-A261-266A-BDB7-1F5987E8C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3470" y="1085850"/>
          <a:ext cx="7525402" cy="260626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24</xdr:col>
      <xdr:colOff>587372</xdr:colOff>
      <xdr:row>32</xdr:row>
      <xdr:rowOff>53847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72068-E8C3-18AD-256E-D27F71AAF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7225" y="0"/>
          <a:ext cx="7292972" cy="584504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627350</xdr:colOff>
      <xdr:row>35</xdr:row>
      <xdr:rowOff>171559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4A41E4-218D-AF16-F906-CA346C51C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48275"/>
          <a:ext cx="6980525" cy="12574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243840</xdr:colOff>
      <xdr:row>2</xdr:row>
      <xdr:rowOff>106680</xdr:rowOff>
    </xdr:from>
    <xdr:to>
      <xdr:col>22</xdr:col>
      <xdr:colOff>419695</xdr:colOff>
      <xdr:row>10</xdr:row>
      <xdr:rowOff>144910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878E6-E546-6E1D-3DBF-660017A4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9440" y="472440"/>
          <a:ext cx="6881456" cy="150127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15240</xdr:rowOff>
    </xdr:from>
    <xdr:to>
      <xdr:col>21</xdr:col>
      <xdr:colOff>229203</xdr:colOff>
      <xdr:row>10</xdr:row>
      <xdr:rowOff>15367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97800-AD30-D87E-DB3B-ECE330D7E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381000"/>
          <a:ext cx="6934801" cy="1463167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</xdr:colOff>
      <xdr:row>1</xdr:row>
      <xdr:rowOff>22860</xdr:rowOff>
    </xdr:from>
    <xdr:to>
      <xdr:col>17</xdr:col>
      <xdr:colOff>211465</xdr:colOff>
      <xdr:row>11</xdr:row>
      <xdr:rowOff>30639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6C50A-72F6-9099-B897-937F6B74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4180" y="205740"/>
          <a:ext cx="6408975" cy="183657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0</xdr:col>
      <xdr:colOff>408214</xdr:colOff>
      <xdr:row>19</xdr:row>
      <xdr:rowOff>158750</xdr:rowOff>
    </xdr:from>
    <xdr:to>
      <xdr:col>2</xdr:col>
      <xdr:colOff>362857</xdr:colOff>
      <xdr:row>23</xdr:row>
      <xdr:rowOff>147411</xdr:rowOff>
    </xdr:to>
    <xdr:sp macro="" textlink="">
      <xdr:nvSpPr>
        <xdr:cNvPr id="3" name="Rounded Rectangle 2"/>
        <xdr:cNvSpPr/>
      </xdr:nvSpPr>
      <xdr:spPr>
        <a:xfrm>
          <a:off x="408214" y="3605893"/>
          <a:ext cx="3004911" cy="71437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Flat</a:t>
          </a:r>
          <a:r>
            <a:rPr lang="en-MY" sz="1100" baseline="0"/>
            <a:t> rates interest is higher compare to compound interest</a:t>
          </a:r>
          <a:endParaRPr lang="en-MY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6" name="Table6" displayName="Table6" ref="A2:B6" totalsRowShown="0">
  <autoFilter ref="A2:B6"/>
  <tableColumns count="2">
    <tableColumn id="1" name="List of function"/>
    <tableColumn id="2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5" totalsRowShown="0" headerRowDxfId="104" dataDxfId="103">
  <autoFilter ref="A1:B5"/>
  <tableColumns count="2">
    <tableColumn id="1" name="Input" dataDxfId="102"/>
    <tableColumn id="2" name="Amount" dataDxfId="10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7:F14" totalsRowCount="1" headerRowDxfId="100" dataDxfId="99" totalsRowDxfId="98">
  <autoFilter ref="A7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eriod " dataDxfId="97" totalsRowDxfId="96"/>
    <tableColumn id="2" name="Opening Balance" dataDxfId="95" totalsRowDxfId="94">
      <calculatedColumnFormula>F7</calculatedColumnFormula>
    </tableColumn>
    <tableColumn id="3" name="Installment (R)" dataDxfId="93" totalsRowDxfId="92">
      <calculatedColumnFormula>$B$5</calculatedColumnFormula>
    </tableColumn>
    <tableColumn id="4" name="Interest (I)" totalsRowFunction="sum" dataDxfId="91" totalsRowDxfId="90">
      <calculatedColumnFormula>B8*$B$3</calculatedColumnFormula>
    </tableColumn>
    <tableColumn id="5" name="Principal Repaid (P)" totalsRowFunction="sum" dataDxfId="89" totalsRowDxfId="88">
      <calculatedColumnFormula>C8-D8</calculatedColumnFormula>
    </tableColumn>
    <tableColumn id="6" name="Closing Balance" dataDxfId="87" totalsRowDxfId="86">
      <calculatedColumnFormula>B8-E8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3" name="Table114" displayName="Table114" ref="A5:B9" totalsRowShown="0" headerRowDxfId="85" dataDxfId="84">
  <autoFilter ref="A5:B9"/>
  <tableColumns count="2">
    <tableColumn id="1" name="Input" dataDxfId="83"/>
    <tableColumn id="2" name="Amount" dataDxfId="8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14" name="Table215" displayName="Table215" ref="A12:F19" totalsRowCount="1" headerRowDxfId="81" dataDxfId="80" totalsRowDxfId="79">
  <autoFilter ref="A12:F18"/>
  <tableColumns count="6">
    <tableColumn id="1" name="Period " dataDxfId="78" totalsRowDxfId="77"/>
    <tableColumn id="2" name="Opening Balance" dataDxfId="76" totalsRowDxfId="75">
      <calculatedColumnFormula>F12</calculatedColumnFormula>
    </tableColumn>
    <tableColumn id="3" name="Installment (R)" dataDxfId="74" totalsRowDxfId="73">
      <calculatedColumnFormula>$B$9</calculatedColumnFormula>
    </tableColumn>
    <tableColumn id="4" name="Interest (I)" totalsRowFunction="sum" dataDxfId="72" totalsRowDxfId="71">
      <calculatedColumnFormula>$B$7*Table215[[#This Row],[Opening Balance]]</calculatedColumnFormula>
    </tableColumn>
    <tableColumn id="5" name="Principal Repaid (P)" totalsRowFunction="sum" dataDxfId="70" totalsRowDxfId="69">
      <calculatedColumnFormula>Table215[[#This Row],[Installment (R)]]-Table215[[#This Row],[Interest (I)]]</calculatedColumnFormula>
    </tableColumn>
    <tableColumn id="6" name="Closing Balance" dataDxfId="68" totalsRowDxfId="67" dataCellStyle="Currency">
      <calculatedColumnFormula>B13-E13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4" name="Table11425" displayName="Table11425" ref="J1:K5" totalsRowShown="0" headerRowDxfId="66" dataDxfId="65">
  <autoFilter ref="J1:K5"/>
  <tableColumns count="2">
    <tableColumn id="1" name="Input" dataDxfId="64"/>
    <tableColumn id="2" name="Amount" dataDxfId="63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A1:B7" totalsRowShown="0">
  <autoFilter ref="A1:B7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E1:J20" totalsRowShown="0" headerRowDxfId="62" dataDxfId="60" headerRowBorderDxfId="61" tableBorderDxfId="59" totalsRowBorderDxfId="58">
  <autoFilter ref="E1:J20"/>
  <tableColumns count="6">
    <tableColumn id="1" name="Period (k)" dataDxfId="57"/>
    <tableColumn id="2" name="Opening Balance" dataDxfId="56">
      <calculatedColumnFormula>J1</calculatedColumnFormula>
    </tableColumn>
    <tableColumn id="3" name="Installment (R)" dataDxfId="55">
      <calculatedColumnFormula>$B$7</calculatedColumnFormula>
    </tableColumn>
    <tableColumn id="4" name="Interest (I)" dataDxfId="54">
      <calculatedColumnFormula>F2*$B$4</calculatedColumnFormula>
    </tableColumn>
    <tableColumn id="5" name="Principal Repaid (P)" dataDxfId="53">
      <calculatedColumnFormula>G2-H2</calculatedColumnFormula>
    </tableColumn>
    <tableColumn id="6" name="Closing Balance" dataDxfId="52">
      <calculatedColumnFormula>F2-I2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5" name="Table5" displayName="Table5" ref="A10:B12" totalsRowShown="0" headerRowDxfId="51">
  <autoFilter ref="A10:B12"/>
  <tableColumns count="2">
    <tableColumn id="1" name="Method " dataDxfId="50"/>
    <tableColumn id="2" name="Amount" dataDxfId="49">
      <calculatedColumnFormula>PV(B4,B5-B6,-B7)</calculatedColumn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id="26" name="Table327" displayName="Table327" ref="A1:B7" totalsRowShown="0">
  <autoFilter ref="A1:B7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27" name="Table27" displayName="Table27" ref="A19:B21" totalsRowShown="0">
  <autoFilter ref="A19:B21"/>
  <tableColumns count="2">
    <tableColumn id="1" name="method"/>
    <tableColumn id="2" name="value" dataDxfId="48">
      <calculatedColumnFormula>PV(B3,B4-B5,-B6)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8" name="Table28" displayName="Table28" ref="F1:K20" totalsRowShown="0">
  <autoFilter ref="F1:K20"/>
  <tableColumns count="6">
    <tableColumn id="1" name="Period"/>
    <tableColumn id="2" name="opening balance" dataDxfId="47">
      <calculatedColumnFormula>K1</calculatedColumnFormula>
    </tableColumn>
    <tableColumn id="3" name="monthly installment " dataDxfId="46">
      <calculatedColumnFormula>$B$7</calculatedColumnFormula>
    </tableColumn>
    <tableColumn id="4" name="interest" dataDxfId="45">
      <calculatedColumnFormula>$B$4*Table28[[#This Row],[opening balance]]</calculatedColumnFormula>
    </tableColumn>
    <tableColumn id="5" name="principal paid" dataDxfId="44">
      <calculatedColumnFormula>Table28[[#This Row],[monthly installment ]]-Table28[[#This Row],[interest]]</calculatedColumnFormula>
    </tableColumn>
    <tableColumn id="6" name="closing balance" dataCellStyle="Currency">
      <calculatedColumnFormula>Table327[[#This Row],[Amount]]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8" name="Table8" displayName="Table8" ref="A1:C7" totalsRowShown="0">
  <autoFilter ref="A1:C7">
    <filterColumn colId="0" hiddenButton="1"/>
    <filterColumn colId="1" hiddenButton="1"/>
    <filterColumn colId="2" hiddenButton="1"/>
  </autoFilter>
  <tableColumns count="3">
    <tableColumn id="1" name="For 0-5 years"/>
    <tableColumn id="2" name="Input"/>
    <tableColumn id="3" name="Amou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9" name="Table9" displayName="Table9" ref="A10:C15" totalsRowShown="0">
  <autoFilter ref="A10:C15">
    <filterColumn colId="0" hiddenButton="1"/>
    <filterColumn colId="1" hiddenButton="1"/>
    <filterColumn colId="2" hiddenButton="1"/>
  </autoFilter>
  <tableColumns count="3">
    <tableColumn id="1" name="For 5-25 years"/>
    <tableColumn id="2" name="Input"/>
    <tableColumn id="3" name="Amount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0" name="Table10" displayName="Table10" ref="F1:K302" totalsRowShown="0" headerRowDxfId="43" headerRowBorderDxfId="42" tableBorderDxfId="41">
  <autoFilter ref="F1:K302"/>
  <tableColumns count="6">
    <tableColumn id="1" name="Period"/>
    <tableColumn id="2" name="Opening Balance" dataDxfId="40"/>
    <tableColumn id="3" name="Installment (R)" dataDxfId="39"/>
    <tableColumn id="4" name="Interest (I)" dataDxfId="38"/>
    <tableColumn id="5" name="Principal Repaid (P)" dataDxfId="37"/>
    <tableColumn id="6" name="Closing Balance" dataDxfId="36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30" name="Table831" displayName="Table831" ref="A1:C7" totalsRowShown="0">
  <autoFilter ref="A1:C7"/>
  <tableColumns count="3">
    <tableColumn id="1" name="For 0-5 years"/>
    <tableColumn id="2" name="Input"/>
    <tableColumn id="3" name="Amou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31" name="Table932" displayName="Table932" ref="A9:C14" totalsRowShown="0">
  <autoFilter ref="A9:C14"/>
  <tableColumns count="3">
    <tableColumn id="1" name="For 5-25 years"/>
    <tableColumn id="2" name="Input"/>
    <tableColumn id="3" name="Amount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32" name="Table32" displayName="Table32" ref="G1:L302" totalsRowShown="0">
  <autoFilter ref="G1:L302"/>
  <tableColumns count="6">
    <tableColumn id="1" name="period"/>
    <tableColumn id="2" name="opening balance" dataCellStyle="Currency">
      <calculatedColumnFormula>L1</calculatedColumnFormula>
    </tableColumn>
    <tableColumn id="3" name="monthly installment" dataDxfId="35">
      <calculatedColumnFormula>$C$6</calculatedColumnFormula>
    </tableColumn>
    <tableColumn id="4" name="interest" dataDxfId="34" dataCellStyle="Currency">
      <calculatedColumnFormula>$C$4*Table32[[#This Row],[opening balance]]</calculatedColumnFormula>
    </tableColumn>
    <tableColumn id="5" name="principal paid" dataDxfId="33" dataCellStyle="Currency">
      <calculatedColumnFormula>Table32[[#This Row],[monthly installment]]-Table32[[#This Row],[interest]]</calculatedColumnFormula>
    </tableColumn>
    <tableColumn id="6" name="closing balance" dataCellStyle="Currency">
      <calculatedColumnFormula>Table32[[#This Row],[opening balance]]-Table32[[#This Row],[principal paid]]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1" name="Table11" displayName="Table11" ref="E1:K26" totalsRowShown="0">
  <autoFilter ref="E1:K26"/>
  <tableColumns count="7">
    <tableColumn id="1" name="Period"/>
    <tableColumn id="2" name="Unit Interest">
      <calculatedColumnFormula>F1-1</calculatedColumnFormula>
    </tableColumn>
    <tableColumn id="3" name="Opening Balance" dataDxfId="32">
      <calculatedColumnFormula>K1</calculatedColumnFormula>
    </tableColumn>
    <tableColumn id="4" name="Installment (R)" dataDxfId="31">
      <calculatedColumnFormula>$B$7</calculatedColumnFormula>
    </tableColumn>
    <tableColumn id="5" name="Interest Due (I)" dataDxfId="30">
      <calculatedColumnFormula>F2*$B$9</calculatedColumnFormula>
    </tableColumn>
    <tableColumn id="6" name="Principal Repaid (P)" dataDxfId="29">
      <calculatedColumnFormula>H2-I2</calculatedColumnFormula>
    </tableColumn>
    <tableColumn id="7" name="Closing Balance" dataDxfId="28">
      <calculatedColumnFormula>G2-J2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12" name="Table12" displayName="Table12" ref="A1:B9" totalsRowShown="0">
  <autoFilter ref="A1:B9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15" name="Table1216" displayName="Table1216" ref="A1:B9" totalsRowShown="0">
  <autoFilter ref="A1:B9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16" name="Table16" displayName="Table16" ref="E1:K26" totalsRowShown="0" headerRowDxfId="27" dataDxfId="25" headerRowBorderDxfId="26" tableBorderDxfId="24" totalsRowBorderDxfId="23">
  <autoFilter ref="E1:K26"/>
  <tableColumns count="7">
    <tableColumn id="1" name="Period" dataDxfId="22"/>
    <tableColumn id="2" name="Unit Interest" dataDxfId="21">
      <calculatedColumnFormula>F1-1</calculatedColumnFormula>
    </tableColumn>
    <tableColumn id="3" name="Opening Balance" dataDxfId="20">
      <calculatedColumnFormula>K1</calculatedColumnFormula>
    </tableColumn>
    <tableColumn id="4" name="Installment (R)" dataDxfId="19">
      <calculatedColumnFormula>$B$7</calculatedColumnFormula>
    </tableColumn>
    <tableColumn id="5" name="Interest Due (I)" dataDxfId="18">
      <calculatedColumnFormula>F2*$B$9</calculatedColumnFormula>
    </tableColumn>
    <tableColumn id="6" name="Principal Repaid (P)" dataDxfId="17">
      <calculatedColumnFormula>H2-I2</calculatedColumnFormula>
    </tableColumn>
    <tableColumn id="7" name="Closing Balance" dataDxfId="16">
      <calculatedColumnFormula>G2-J2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17" name="Table17" displayName="Table17" ref="A1:B9" totalsRowShown="0">
  <autoFilter ref="A1:B9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1" name="Table21" displayName="Table21" ref="D1:I122" totalsRowShown="0">
  <autoFilter ref="D1:I122"/>
  <tableColumns count="6">
    <tableColumn id="1" name="period"/>
    <tableColumn id="2" name="opening balance" dataCellStyle="Currency">
      <calculatedColumnFormula>I1</calculatedColumnFormula>
    </tableColumn>
    <tableColumn id="3" name="monhly installment" dataDxfId="15">
      <calculatedColumnFormula>$B$6</calculatedColumnFormula>
    </tableColumn>
    <tableColumn id="4" name="interest" dataDxfId="14" dataCellStyle="Currency">
      <calculatedColumnFormula>(6%/12)*Table21[[#This Row],[opening balance]]</calculatedColumnFormula>
    </tableColumn>
    <tableColumn id="5" name="principal paid" dataDxfId="13" dataCellStyle="Currency">
      <calculatedColumnFormula>Table21[[#This Row],[monhly installment]]-Table21[[#This Row],[interest]]</calculatedColumnFormula>
    </tableColumn>
    <tableColumn id="6" name="closing balance" dataCellStyle="Currency">
      <calculatedColumnFormula>Table21[[#This Row],[opening balance]]-Table21[[#This Row],[principal paid]]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19" name="Table1720" displayName="Table1720" ref="A1:B12" totalsRowShown="0">
  <autoFilter ref="A1:B12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7" name="Table7" displayName="Table7" ref="D1:I185" totalsRowShown="0">
  <autoFilter ref="D1:I185"/>
  <tableColumns count="6">
    <tableColumn id="1" name="period"/>
    <tableColumn id="2" name="opening balance" dataDxfId="9">
      <calculatedColumnFormula>I1</calculatedColumnFormula>
    </tableColumn>
    <tableColumn id="3" name="monthly installment" dataDxfId="10">
      <calculatedColumnFormula>$B$6</calculatedColumnFormula>
    </tableColumn>
    <tableColumn id="4" name="interest" dataDxfId="11">
      <calculatedColumnFormula>(8%/12)*Table7[[#This Row],[opening balance]]</calculatedColumnFormula>
    </tableColumn>
    <tableColumn id="5" name="principal paid" dataDxfId="12">
      <calculatedColumnFormula>Table7[[#This Row],[monthly installment]]-Table7[[#This Row],[interest]]</calculatedColumnFormula>
    </tableColumn>
    <tableColumn id="6" name="closing balance" dataCellStyle="Currenc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0" name="Table121621" displayName="Table121621" ref="A2:B11" totalsRowShown="0">
  <autoFilter ref="A2:B11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2" name="Table22" displayName="Table22" ref="D1:J62" totalsRowShown="0">
  <autoFilter ref="D1:J62"/>
  <tableColumns count="7">
    <tableColumn id="1" name="period"/>
    <tableColumn id="2" name="unit interest"/>
    <tableColumn id="3" name="opening balance" dataDxfId="8">
      <calculatedColumnFormula>J1</calculatedColumnFormula>
    </tableColumn>
    <tableColumn id="4" name="monthly installment" dataDxfId="7">
      <calculatedColumnFormula>$B$8</calculatedColumnFormula>
    </tableColumn>
    <tableColumn id="5" name="interest" dataDxfId="6">
      <calculatedColumnFormula>Table22[[#This Row],[unit interest]]*$B$10</calculatedColumnFormula>
    </tableColumn>
    <tableColumn id="6" name="principal repaid" dataDxfId="5">
      <calculatedColumnFormula>Table22[[#This Row],[monthly installment]]-Table22[[#This Row],[interest]]</calculatedColumnFormula>
    </tableColumn>
    <tableColumn id="7" name="closing balance" dataCellStyle="Currency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3" name="Table23" displayName="Table23" ref="A14:B19" totalsRowShown="0">
  <autoFilter ref="A14:B19"/>
  <tableColumns count="2">
    <tableColumn id="1" name="input"/>
    <tableColumn id="2" name="amoun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25" name="Table25" displayName="Table25" ref="L14:Q75" totalsRowShown="0">
  <autoFilter ref="L14:Q75"/>
  <tableColumns count="6">
    <tableColumn id="1" name="period"/>
    <tableColumn id="2" name="opening balance" dataDxfId="4">
      <calculatedColumnFormula>Q14</calculatedColumnFormula>
    </tableColumn>
    <tableColumn id="3" name="monthly installment" dataDxfId="2">
      <calculatedColumnFormula>$B$17</calculatedColumnFormula>
    </tableColumn>
    <tableColumn id="4" name="interest" dataDxfId="0">
      <calculatedColumnFormula>Table25[[#This Row],[opening balance]]*(4%/12)</calculatedColumnFormula>
    </tableColumn>
    <tableColumn id="5" name="principal repaid" dataDxfId="1">
      <calculatedColumnFormula>Table25[[#This Row],[monthly installment]]-Table25[[#This Row],[interest]]</calculatedColumnFormula>
    </tableColumn>
    <tableColumn id="6" name="closing balance" dataDxfId="3" dataCellStyle="Currency">
      <calculatedColumnFormula>30000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Relationship Id="rId4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drawing" Target="../drawings/drawing9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D7" sqref="D7"/>
    </sheetView>
  </sheetViews>
  <sheetFormatPr defaultRowHeight="14.25"/>
  <cols>
    <col min="1" max="1" width="17.375" customWidth="1"/>
    <col min="2" max="2" width="57" customWidth="1"/>
  </cols>
  <sheetData>
    <row r="2" spans="1:2">
      <c r="A2" t="s">
        <v>37</v>
      </c>
      <c r="B2" t="s">
        <v>46</v>
      </c>
    </row>
    <row r="3" spans="1:2">
      <c r="A3" t="s">
        <v>38</v>
      </c>
      <c r="B3" t="s">
        <v>44</v>
      </c>
    </row>
    <row r="4" spans="1:2">
      <c r="A4" t="s">
        <v>39</v>
      </c>
      <c r="B4" t="s">
        <v>45</v>
      </c>
    </row>
    <row r="5" spans="1:2" ht="28.5">
      <c r="A5" t="s">
        <v>40</v>
      </c>
      <c r="B5" s="33" t="s">
        <v>43</v>
      </c>
    </row>
    <row r="6" spans="1:2" ht="28.5">
      <c r="A6" t="s">
        <v>41</v>
      </c>
      <c r="B6" s="33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70" zoomScaleNormal="90" workbookViewId="0">
      <selection activeCell="E14" sqref="E14"/>
    </sheetView>
  </sheetViews>
  <sheetFormatPr defaultRowHeight="14.25"/>
  <cols>
    <col min="1" max="1" width="32.5" customWidth="1"/>
    <col min="2" max="3" width="24.375" customWidth="1"/>
    <col min="4" max="4" width="18.5" customWidth="1"/>
    <col min="5" max="5" width="22.875" customWidth="1"/>
    <col min="6" max="6" width="24.375" customWidth="1"/>
  </cols>
  <sheetData>
    <row r="1" spans="1:6" ht="15.75">
      <c r="A1" s="25" t="s">
        <v>10</v>
      </c>
      <c r="B1" s="26" t="s">
        <v>11</v>
      </c>
    </row>
    <row r="2" spans="1:6" ht="15.75">
      <c r="A2" s="25" t="s">
        <v>0</v>
      </c>
      <c r="B2" s="26">
        <v>10000</v>
      </c>
    </row>
    <row r="3" spans="1:6" ht="15.75">
      <c r="A3" s="25" t="s">
        <v>1</v>
      </c>
      <c r="B3" s="26">
        <v>0.1</v>
      </c>
    </row>
    <row r="4" spans="1:6" ht="15.75">
      <c r="A4" s="25" t="s">
        <v>2</v>
      </c>
      <c r="B4" s="26">
        <v>5</v>
      </c>
    </row>
    <row r="5" spans="1:6" ht="15.75">
      <c r="A5" s="25" t="s">
        <v>3</v>
      </c>
      <c r="B5" s="27">
        <f>PMT(B3,B4,-B2)</f>
        <v>2637.9748079474539</v>
      </c>
    </row>
    <row r="7" spans="1:6" ht="20.25">
      <c r="A7" s="28" t="s">
        <v>31</v>
      </c>
      <c r="B7" s="28" t="s">
        <v>5</v>
      </c>
      <c r="C7" s="28" t="s">
        <v>6</v>
      </c>
      <c r="D7" s="28" t="s">
        <v>7</v>
      </c>
      <c r="E7" s="28" t="s">
        <v>8</v>
      </c>
      <c r="F7" s="28" t="s">
        <v>9</v>
      </c>
    </row>
    <row r="8" spans="1:6" ht="20.25">
      <c r="A8" s="28">
        <v>0</v>
      </c>
      <c r="B8" s="29"/>
      <c r="C8" s="29"/>
      <c r="D8" s="29"/>
      <c r="E8" s="29"/>
      <c r="F8" s="29">
        <f>B2</f>
        <v>10000</v>
      </c>
    </row>
    <row r="9" spans="1:6" ht="20.25">
      <c r="A9" s="28">
        <v>1</v>
      </c>
      <c r="B9" s="29">
        <f>F8</f>
        <v>10000</v>
      </c>
      <c r="C9" s="30">
        <f>$B$5</f>
        <v>2637.9748079474539</v>
      </c>
      <c r="D9" s="29">
        <f>B9*$B$3</f>
        <v>1000</v>
      </c>
      <c r="E9" s="31">
        <f>C9-D9</f>
        <v>1637.9748079474539</v>
      </c>
      <c r="F9" s="31">
        <f>B9-E9</f>
        <v>8362.0251920525461</v>
      </c>
    </row>
    <row r="10" spans="1:6" ht="20.25">
      <c r="A10" s="28">
        <v>2</v>
      </c>
      <c r="B10" s="29">
        <f t="shared" ref="B10:B13" si="0">F9</f>
        <v>8362.0251920525461</v>
      </c>
      <c r="C10" s="30">
        <f>$B$5</f>
        <v>2637.9748079474539</v>
      </c>
      <c r="D10" s="29">
        <f>B10*$B$3</f>
        <v>836.2025192052547</v>
      </c>
      <c r="E10" s="31">
        <f t="shared" ref="E10:E13" si="1">C10-D10</f>
        <v>1801.7722887421992</v>
      </c>
      <c r="F10" s="31">
        <f t="shared" ref="F10:F13" si="2">B10-E10</f>
        <v>6560.2529033103474</v>
      </c>
    </row>
    <row r="11" spans="1:6" ht="20.25">
      <c r="A11" s="28">
        <v>3</v>
      </c>
      <c r="B11" s="29">
        <f t="shared" si="0"/>
        <v>6560.2529033103474</v>
      </c>
      <c r="C11" s="30">
        <f>$B$5</f>
        <v>2637.9748079474539</v>
      </c>
      <c r="D11" s="29">
        <f>B11*$B$3</f>
        <v>656.02529033103474</v>
      </c>
      <c r="E11" s="31">
        <f t="shared" si="1"/>
        <v>1981.9495176164191</v>
      </c>
      <c r="F11" s="31">
        <f t="shared" si="2"/>
        <v>4578.3033856939282</v>
      </c>
    </row>
    <row r="12" spans="1:6" ht="20.25">
      <c r="A12" s="28">
        <v>4</v>
      </c>
      <c r="B12" s="29">
        <f t="shared" si="0"/>
        <v>4578.3033856939282</v>
      </c>
      <c r="C12" s="30">
        <f>$B$5</f>
        <v>2637.9748079474539</v>
      </c>
      <c r="D12" s="29">
        <f>B12*$B$3</f>
        <v>457.83033856939284</v>
      </c>
      <c r="E12" s="31">
        <f t="shared" si="1"/>
        <v>2180.1444693780609</v>
      </c>
      <c r="F12" s="31">
        <f t="shared" si="2"/>
        <v>2398.1589163158674</v>
      </c>
    </row>
    <row r="13" spans="1:6" ht="20.25">
      <c r="A13" s="28">
        <v>5</v>
      </c>
      <c r="B13" s="29">
        <f t="shared" si="0"/>
        <v>2398.1589163158674</v>
      </c>
      <c r="C13" s="30">
        <f>$B$5</f>
        <v>2637.9748079474539</v>
      </c>
      <c r="D13" s="29">
        <f>B13*$B$3</f>
        <v>239.81589163158674</v>
      </c>
      <c r="E13" s="31">
        <f t="shared" si="1"/>
        <v>2398.1589163158669</v>
      </c>
      <c r="F13" s="31">
        <f t="shared" si="2"/>
        <v>0</v>
      </c>
    </row>
    <row r="14" spans="1:6" ht="20.25">
      <c r="A14" s="28"/>
      <c r="B14" s="29"/>
      <c r="C14" s="30"/>
      <c r="D14" s="32">
        <f>SUBTOTAL(109,Table2[Interest (I)])</f>
        <v>3189.8740397372694</v>
      </c>
      <c r="E14" s="32">
        <f>SUBTOTAL(109,Table2[Principal Repaid (P)])</f>
        <v>10000</v>
      </c>
      <c r="F14" s="30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9"/>
  <sheetViews>
    <sheetView topLeftCell="A3" zoomScale="73" workbookViewId="0">
      <selection activeCell="C24" sqref="C24"/>
    </sheetView>
  </sheetViews>
  <sheetFormatPr defaultRowHeight="14.25"/>
  <cols>
    <col min="1" max="1" width="21.375" customWidth="1"/>
    <col min="2" max="2" width="17.75" customWidth="1"/>
    <col min="3" max="3" width="23.5" bestFit="1" customWidth="1"/>
    <col min="4" max="4" width="17.875" bestFit="1" customWidth="1"/>
    <col min="5" max="5" width="30.25" bestFit="1" customWidth="1"/>
    <col min="6" max="6" width="25.875" style="52" bestFit="1" customWidth="1"/>
    <col min="7" max="7" width="20.25" customWidth="1"/>
  </cols>
  <sheetData>
    <row r="5" spans="1:6" ht="15.75">
      <c r="A5" s="25" t="s">
        <v>10</v>
      </c>
      <c r="B5" s="26" t="s">
        <v>11</v>
      </c>
    </row>
    <row r="6" spans="1:6" ht="15.75">
      <c r="A6" s="25" t="s">
        <v>0</v>
      </c>
      <c r="B6" s="26">
        <v>10000</v>
      </c>
    </row>
    <row r="7" spans="1:6" ht="15.75">
      <c r="A7" s="25" t="s">
        <v>1</v>
      </c>
      <c r="B7" s="26">
        <v>0.1</v>
      </c>
    </row>
    <row r="8" spans="1:6" ht="15.75">
      <c r="A8" s="25" t="s">
        <v>2</v>
      </c>
      <c r="B8" s="26">
        <v>5</v>
      </c>
    </row>
    <row r="9" spans="1:6" ht="31.5">
      <c r="A9" s="25" t="s">
        <v>3</v>
      </c>
      <c r="B9" s="27">
        <f>PMT(B7,B8,-B6)</f>
        <v>2637.9748079474539</v>
      </c>
    </row>
    <row r="12" spans="1:6" ht="20.25">
      <c r="A12" s="28" t="s">
        <v>31</v>
      </c>
      <c r="B12" s="28" t="s">
        <v>5</v>
      </c>
      <c r="C12" s="28" t="s">
        <v>6</v>
      </c>
      <c r="D12" s="28" t="s">
        <v>7</v>
      </c>
      <c r="E12" s="28" t="s">
        <v>8</v>
      </c>
      <c r="F12" s="58" t="s">
        <v>9</v>
      </c>
    </row>
    <row r="13" spans="1:6" ht="20.25">
      <c r="A13" s="28">
        <v>0</v>
      </c>
      <c r="B13" s="29"/>
      <c r="C13" s="30"/>
      <c r="D13" s="29">
        <f>$B$7*Table215[[#This Row],[Opening Balance]]</f>
        <v>0</v>
      </c>
      <c r="E13" s="31">
        <f>Table215[[#This Row],[Installment (R)]]-Table215[[#This Row],[Interest (I)]]</f>
        <v>0</v>
      </c>
      <c r="F13" s="59">
        <f>B6</f>
        <v>10000</v>
      </c>
    </row>
    <row r="14" spans="1:6" ht="20.25">
      <c r="A14" s="28">
        <v>1</v>
      </c>
      <c r="B14" s="29">
        <f>F13</f>
        <v>10000</v>
      </c>
      <c r="C14" s="30">
        <f>$B$9</f>
        <v>2637.9748079474539</v>
      </c>
      <c r="D14" s="29">
        <f>$B$7*Table215[[#This Row],[Opening Balance]]</f>
        <v>1000</v>
      </c>
      <c r="E14" s="31">
        <f>Table215[[#This Row],[Installment (R)]]-Table215[[#This Row],[Interest (I)]]</f>
        <v>1637.9748079474539</v>
      </c>
      <c r="F14" s="59">
        <f>Table215[[#This Row],[Opening Balance]]-Table215[[#This Row],[Principal Repaid (P)]]</f>
        <v>8362.0251920525461</v>
      </c>
    </row>
    <row r="15" spans="1:6" ht="20.25">
      <c r="A15" s="28">
        <v>2</v>
      </c>
      <c r="B15" s="29">
        <f t="shared" ref="B15:B18" si="0">F14</f>
        <v>8362.0251920525461</v>
      </c>
      <c r="C15" s="30">
        <f t="shared" ref="C15:C18" si="1">$B$9</f>
        <v>2637.9748079474539</v>
      </c>
      <c r="D15" s="29">
        <f>$B$7*Table215[[#This Row],[Opening Balance]]</f>
        <v>836.2025192052547</v>
      </c>
      <c r="E15" s="31">
        <f>Table215[[#This Row],[Installment (R)]]-Table215[[#This Row],[Interest (I)]]</f>
        <v>1801.7722887421992</v>
      </c>
      <c r="F15" s="59">
        <f>Table215[[#This Row],[Opening Balance]]-Table215[[#This Row],[Principal Repaid (P)]]</f>
        <v>6560.2529033103474</v>
      </c>
    </row>
    <row r="16" spans="1:6" ht="20.25">
      <c r="A16" s="28">
        <v>3</v>
      </c>
      <c r="B16" s="29">
        <f t="shared" si="0"/>
        <v>6560.2529033103474</v>
      </c>
      <c r="C16" s="30">
        <f t="shared" si="1"/>
        <v>2637.9748079474539</v>
      </c>
      <c r="D16" s="29">
        <f>$B$7*Table215[[#This Row],[Opening Balance]]</f>
        <v>656.02529033103474</v>
      </c>
      <c r="E16" s="31">
        <f>Table215[[#This Row],[Installment (R)]]-Table215[[#This Row],[Interest (I)]]</f>
        <v>1981.9495176164191</v>
      </c>
      <c r="F16" s="59">
        <f>Table215[[#This Row],[Opening Balance]]-Table215[[#This Row],[Principal Repaid (P)]]</f>
        <v>4578.3033856939282</v>
      </c>
    </row>
    <row r="17" spans="1:6" ht="20.25">
      <c r="A17" s="28">
        <v>4</v>
      </c>
      <c r="B17" s="29">
        <f t="shared" si="0"/>
        <v>4578.3033856939282</v>
      </c>
      <c r="C17" s="30">
        <f t="shared" si="1"/>
        <v>2637.9748079474539</v>
      </c>
      <c r="D17" s="29">
        <f>$B$7*Table215[[#This Row],[Opening Balance]]</f>
        <v>457.83033856939284</v>
      </c>
      <c r="E17" s="31">
        <f>Table215[[#This Row],[Installment (R)]]-Table215[[#This Row],[Interest (I)]]</f>
        <v>2180.1444693780609</v>
      </c>
      <c r="F17" s="59">
        <f>Table215[[#This Row],[Opening Balance]]-Table215[[#This Row],[Principal Repaid (P)]]</f>
        <v>2398.1589163158674</v>
      </c>
    </row>
    <row r="18" spans="1:6" ht="20.25">
      <c r="A18" s="28">
        <v>5</v>
      </c>
      <c r="B18" s="29">
        <f t="shared" si="0"/>
        <v>2398.1589163158674</v>
      </c>
      <c r="C18" s="30">
        <f t="shared" si="1"/>
        <v>2637.9748079474539</v>
      </c>
      <c r="D18" s="29">
        <f>$B$7*Table215[[#This Row],[Opening Balance]]</f>
        <v>239.81589163158674</v>
      </c>
      <c r="E18" s="31">
        <f>Table215[[#This Row],[Installment (R)]]-Table215[[#This Row],[Interest (I)]]</f>
        <v>2398.1589163158669</v>
      </c>
      <c r="F18" s="59">
        <f>Table215[[#This Row],[Opening Balance]]-Table215[[#This Row],[Principal Repaid (P)]]</f>
        <v>0</v>
      </c>
    </row>
    <row r="19" spans="1:6" ht="20.25">
      <c r="A19" s="34"/>
      <c r="B19" s="35"/>
      <c r="C19" s="36"/>
      <c r="D19" s="37">
        <f>SUBTOTAL(109,Table215[Interest (I)])</f>
        <v>3189.8740397372694</v>
      </c>
      <c r="E19" s="37">
        <f>SUBTOTAL(109,Table215[Principal Repaid (P)])</f>
        <v>10000</v>
      </c>
      <c r="F19" s="60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E16" sqref="E16"/>
    </sheetView>
  </sheetViews>
  <sheetFormatPr defaultRowHeight="14.25"/>
  <cols>
    <col min="1" max="1" width="9.125" customWidth="1"/>
    <col min="2" max="2" width="18" style="52" customWidth="1"/>
    <col min="3" max="3" width="15.5" customWidth="1"/>
    <col min="4" max="4" width="11.875" style="52" customWidth="1"/>
    <col min="5" max="5" width="20.25" style="52" customWidth="1"/>
    <col min="6" max="6" width="17.125" style="52" customWidth="1"/>
    <col min="10" max="10" width="21.375" customWidth="1"/>
    <col min="11" max="11" width="17.75" customWidth="1"/>
  </cols>
  <sheetData>
    <row r="1" spans="1:11" ht="16.5" thickBot="1">
      <c r="A1" s="38" t="s">
        <v>31</v>
      </c>
      <c r="B1" s="47" t="s">
        <v>5</v>
      </c>
      <c r="C1" s="38" t="s">
        <v>6</v>
      </c>
      <c r="D1" s="47" t="s">
        <v>7</v>
      </c>
      <c r="E1" s="47" t="s">
        <v>8</v>
      </c>
      <c r="F1" s="53" t="s">
        <v>9</v>
      </c>
      <c r="J1" s="25" t="s">
        <v>10</v>
      </c>
      <c r="K1" s="26" t="s">
        <v>11</v>
      </c>
    </row>
    <row r="2" spans="1:11" ht="15.75">
      <c r="A2" s="39">
        <v>0</v>
      </c>
      <c r="B2" s="48" t="str">
        <f t="shared" ref="B2:B8" si="0">F1</f>
        <v>Closing Balance</v>
      </c>
      <c r="C2" s="40"/>
      <c r="D2" s="48"/>
      <c r="E2" s="48"/>
      <c r="F2" s="54">
        <f>Table11425[[#This Row],[Amount]]</f>
        <v>10000</v>
      </c>
      <c r="J2" s="25" t="s">
        <v>0</v>
      </c>
      <c r="K2" s="26">
        <v>10000</v>
      </c>
    </row>
    <row r="3" spans="1:11" ht="15.75">
      <c r="A3" s="41">
        <v>1</v>
      </c>
      <c r="B3" s="49">
        <f t="shared" si="0"/>
        <v>10000</v>
      </c>
      <c r="C3" s="42">
        <f t="shared" ref="C3:C7" si="1">$K$5</f>
        <v>2637.9748079474539</v>
      </c>
      <c r="D3" s="49">
        <f>0.1*Sheet1!$B3</f>
        <v>1000</v>
      </c>
      <c r="E3" s="49">
        <f>Sheet1!$C3-Sheet1!$D3</f>
        <v>1637.9748079474539</v>
      </c>
      <c r="F3" s="55">
        <f>Sheet1!$B3-Sheet1!$E3</f>
        <v>8362.0251920525461</v>
      </c>
      <c r="J3" s="25" t="s">
        <v>1</v>
      </c>
      <c r="K3" s="26">
        <v>0.1</v>
      </c>
    </row>
    <row r="4" spans="1:11" ht="15.75">
      <c r="A4" s="43">
        <v>2</v>
      </c>
      <c r="B4" s="50">
        <f t="shared" si="0"/>
        <v>8362.0251920525461</v>
      </c>
      <c r="C4" s="44">
        <f t="shared" si="1"/>
        <v>2637.9748079474539</v>
      </c>
      <c r="D4" s="50">
        <f>0.1*Sheet1!$B4</f>
        <v>836.2025192052547</v>
      </c>
      <c r="E4" s="50">
        <f>Sheet1!$C4-Sheet1!$D4</f>
        <v>1801.7722887421992</v>
      </c>
      <c r="F4" s="56">
        <f>Sheet1!$B4-Sheet1!$E4</f>
        <v>6560.2529033103474</v>
      </c>
      <c r="J4" s="25" t="s">
        <v>2</v>
      </c>
      <c r="K4" s="26">
        <v>5</v>
      </c>
    </row>
    <row r="5" spans="1:11" ht="31.5">
      <c r="A5" s="41">
        <v>3</v>
      </c>
      <c r="B5" s="49">
        <f t="shared" si="0"/>
        <v>6560.2529033103474</v>
      </c>
      <c r="C5" s="42">
        <f t="shared" si="1"/>
        <v>2637.9748079474539</v>
      </c>
      <c r="D5" s="49">
        <f>0.1*Sheet1!$B5</f>
        <v>656.02529033103474</v>
      </c>
      <c r="E5" s="49">
        <f>Sheet1!$C5-Sheet1!$D5</f>
        <v>1981.9495176164191</v>
      </c>
      <c r="F5" s="55">
        <f>Sheet1!$B5-Sheet1!$E5</f>
        <v>4578.3033856939282</v>
      </c>
      <c r="J5" s="25" t="s">
        <v>3</v>
      </c>
      <c r="K5" s="27">
        <f>PMT(K3,K4,-K2)</f>
        <v>2637.9748079474539</v>
      </c>
    </row>
    <row r="6" spans="1:11">
      <c r="A6" s="43">
        <v>4</v>
      </c>
      <c r="B6" s="50">
        <f t="shared" si="0"/>
        <v>4578.3033856939282</v>
      </c>
      <c r="C6" s="44">
        <f t="shared" si="1"/>
        <v>2637.9748079474539</v>
      </c>
      <c r="D6" s="50">
        <f>0.1*Sheet1!$B6</f>
        <v>457.83033856939284</v>
      </c>
      <c r="E6" s="50">
        <f>Sheet1!$C6-Sheet1!$D6</f>
        <v>2180.1444693780609</v>
      </c>
      <c r="F6" s="56">
        <f>Sheet1!$B6-Sheet1!$E6</f>
        <v>2398.1589163158674</v>
      </c>
    </row>
    <row r="7" spans="1:11">
      <c r="A7" s="41">
        <v>5</v>
      </c>
      <c r="B7" s="49">
        <f t="shared" si="0"/>
        <v>2398.1589163158674</v>
      </c>
      <c r="C7" s="42">
        <f t="shared" si="1"/>
        <v>2637.9748079474539</v>
      </c>
      <c r="D7" s="49">
        <f>0.1*Sheet1!$B7</f>
        <v>239.81589163158674</v>
      </c>
      <c r="E7" s="49">
        <f>Sheet1!$C7-Sheet1!$D7</f>
        <v>2398.1589163158669</v>
      </c>
      <c r="F7" s="55">
        <f>Sheet1!$B7-Sheet1!$E7</f>
        <v>0</v>
      </c>
    </row>
    <row r="8" spans="1:11">
      <c r="A8" s="45"/>
      <c r="B8" s="51">
        <f t="shared" si="0"/>
        <v>0</v>
      </c>
      <c r="C8" s="46">
        <f>SUBTOTAL(9,C3:C7)</f>
        <v>13189.874039737269</v>
      </c>
      <c r="D8" s="51">
        <f>SUBTOTAL(9,D3:D7)</f>
        <v>3189.8740397372694</v>
      </c>
      <c r="E8" s="51">
        <f>SUBTOTAL(109,E3:E7)</f>
        <v>10000</v>
      </c>
      <c r="F8" s="5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B1" workbookViewId="0">
      <selection activeCell="B11" sqref="B11"/>
    </sheetView>
  </sheetViews>
  <sheetFormatPr defaultRowHeight="14.25"/>
  <cols>
    <col min="1" max="1" width="30.75" customWidth="1"/>
    <col min="2" max="2" width="23.125" customWidth="1"/>
    <col min="5" max="5" width="11" customWidth="1"/>
    <col min="6" max="6" width="16.75" customWidth="1"/>
    <col min="7" max="7" width="15.25" customWidth="1"/>
    <col min="8" max="8" width="11.5" customWidth="1"/>
    <col min="9" max="9" width="19.5" customWidth="1"/>
    <col min="10" max="10" width="16" customWidth="1"/>
  </cols>
  <sheetData>
    <row r="1" spans="1:10" ht="15">
      <c r="A1" t="s">
        <v>10</v>
      </c>
      <c r="B1" t="s">
        <v>11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12</v>
      </c>
      <c r="B2">
        <v>2000</v>
      </c>
      <c r="E2" s="3">
        <v>0</v>
      </c>
      <c r="F2" s="4">
        <v>0</v>
      </c>
      <c r="G2" s="4">
        <v>0</v>
      </c>
      <c r="H2" s="4">
        <v>0</v>
      </c>
      <c r="I2" s="4">
        <v>0</v>
      </c>
      <c r="J2" s="4">
        <f>Table3[[#This Row],[Amount]]</f>
        <v>2000</v>
      </c>
    </row>
    <row r="3" spans="1:10">
      <c r="A3" t="s">
        <v>13</v>
      </c>
      <c r="B3">
        <v>0.12</v>
      </c>
      <c r="E3" s="3">
        <v>1</v>
      </c>
      <c r="F3" s="4">
        <f>J2</f>
        <v>2000</v>
      </c>
      <c r="G3" s="5">
        <f>$B$7</f>
        <v>121.96409579060264</v>
      </c>
      <c r="H3" s="4">
        <f>F3*$B$4</f>
        <v>20</v>
      </c>
      <c r="I3" s="6">
        <f>G3-H3</f>
        <v>101.96409579060264</v>
      </c>
      <c r="J3" s="6">
        <f>F3-I3</f>
        <v>1898.0359042093974</v>
      </c>
    </row>
    <row r="4" spans="1:10">
      <c r="A4" t="s">
        <v>14</v>
      </c>
      <c r="B4">
        <f>B3/12</f>
        <v>0.01</v>
      </c>
      <c r="E4" s="3">
        <v>2</v>
      </c>
      <c r="F4" s="4">
        <f t="shared" ref="F4:F20" si="0">J3</f>
        <v>1898.0359042093974</v>
      </c>
      <c r="G4" s="5">
        <f t="shared" ref="G4:G20" si="1">$B$7</f>
        <v>121.96409579060264</v>
      </c>
      <c r="H4" s="4">
        <f t="shared" ref="H4:H20" si="2">F4*$B$4</f>
        <v>18.980359042093973</v>
      </c>
      <c r="I4" s="6">
        <f t="shared" ref="I4:I20" si="3">G4-H4</f>
        <v>102.98373674850868</v>
      </c>
      <c r="J4" s="6">
        <f t="shared" ref="J4:J20" si="4">F4-I4</f>
        <v>1795.0521674608888</v>
      </c>
    </row>
    <row r="5" spans="1:10">
      <c r="A5" t="s">
        <v>15</v>
      </c>
      <c r="B5">
        <v>18</v>
      </c>
      <c r="E5" s="3">
        <v>3</v>
      </c>
      <c r="F5" s="4">
        <f t="shared" si="0"/>
        <v>1795.0521674608888</v>
      </c>
      <c r="G5" s="5">
        <f t="shared" si="1"/>
        <v>121.96409579060264</v>
      </c>
      <c r="H5" s="4">
        <f t="shared" si="2"/>
        <v>17.95052167460889</v>
      </c>
      <c r="I5" s="6">
        <f t="shared" si="3"/>
        <v>104.01357411599375</v>
      </c>
      <c r="J5" s="6">
        <f t="shared" si="4"/>
        <v>1691.0385933448949</v>
      </c>
    </row>
    <row r="6" spans="1:10">
      <c r="A6" t="s">
        <v>16</v>
      </c>
      <c r="B6">
        <v>8</v>
      </c>
      <c r="E6" s="3">
        <v>4</v>
      </c>
      <c r="F6" s="4">
        <f t="shared" si="0"/>
        <v>1691.0385933448949</v>
      </c>
      <c r="G6" s="5">
        <f t="shared" si="1"/>
        <v>121.96409579060264</v>
      </c>
      <c r="H6" s="4">
        <f t="shared" si="2"/>
        <v>16.91038593344895</v>
      </c>
      <c r="I6" s="6">
        <f t="shared" si="3"/>
        <v>105.05370985715369</v>
      </c>
      <c r="J6" s="6">
        <f t="shared" si="4"/>
        <v>1585.9848834877412</v>
      </c>
    </row>
    <row r="7" spans="1:10">
      <c r="A7" t="s">
        <v>17</v>
      </c>
      <c r="B7" s="1">
        <f>PMT(B4,B5,-B2)</f>
        <v>121.96409579060264</v>
      </c>
      <c r="E7" s="3">
        <v>5</v>
      </c>
      <c r="F7" s="4">
        <f t="shared" si="0"/>
        <v>1585.9848834877412</v>
      </c>
      <c r="G7" s="5">
        <f t="shared" si="1"/>
        <v>121.96409579060264</v>
      </c>
      <c r="H7" s="4">
        <f t="shared" si="2"/>
        <v>15.859848834877413</v>
      </c>
      <c r="I7" s="6">
        <f t="shared" si="3"/>
        <v>106.10424695572523</v>
      </c>
      <c r="J7" s="6">
        <f t="shared" si="4"/>
        <v>1479.8806365320158</v>
      </c>
    </row>
    <row r="8" spans="1:10">
      <c r="E8" s="3">
        <v>6</v>
      </c>
      <c r="F8" s="4">
        <f t="shared" si="0"/>
        <v>1479.8806365320158</v>
      </c>
      <c r="G8" s="5">
        <f t="shared" si="1"/>
        <v>121.96409579060264</v>
      </c>
      <c r="H8" s="4">
        <f t="shared" si="2"/>
        <v>14.798806365320159</v>
      </c>
      <c r="I8" s="6">
        <f t="shared" si="3"/>
        <v>107.16528942528248</v>
      </c>
      <c r="J8" s="6">
        <f t="shared" si="4"/>
        <v>1372.7153471067334</v>
      </c>
    </row>
    <row r="9" spans="1:10">
      <c r="E9" s="3">
        <v>7</v>
      </c>
      <c r="F9" s="4">
        <f t="shared" si="0"/>
        <v>1372.7153471067334</v>
      </c>
      <c r="G9" s="5">
        <f t="shared" si="1"/>
        <v>121.96409579060264</v>
      </c>
      <c r="H9" s="4">
        <f t="shared" si="2"/>
        <v>13.727153471067334</v>
      </c>
      <c r="I9" s="6">
        <f t="shared" si="3"/>
        <v>108.2369423195353</v>
      </c>
      <c r="J9" s="6">
        <f t="shared" si="4"/>
        <v>1264.4784047871981</v>
      </c>
    </row>
    <row r="10" spans="1:10">
      <c r="A10" t="s">
        <v>20</v>
      </c>
      <c r="B10" t="s">
        <v>11</v>
      </c>
      <c r="E10" s="12">
        <v>8</v>
      </c>
      <c r="F10" s="13">
        <f t="shared" si="0"/>
        <v>1264.4784047871981</v>
      </c>
      <c r="G10" s="14">
        <f t="shared" si="1"/>
        <v>121.96409579060264</v>
      </c>
      <c r="H10" s="13">
        <f t="shared" si="2"/>
        <v>12.644784047871982</v>
      </c>
      <c r="I10" s="15">
        <f t="shared" si="3"/>
        <v>109.31931174273066</v>
      </c>
      <c r="J10" s="15">
        <f t="shared" si="4"/>
        <v>1155.1590930444675</v>
      </c>
    </row>
    <row r="11" spans="1:10">
      <c r="A11" t="s">
        <v>18</v>
      </c>
      <c r="B11" s="11">
        <f>PV(B4,B5-B6,-B7)</f>
        <v>1155.1590930444697</v>
      </c>
      <c r="E11" s="3">
        <v>9</v>
      </c>
      <c r="F11" s="4">
        <f t="shared" si="0"/>
        <v>1155.1590930444675</v>
      </c>
      <c r="G11" s="5">
        <f t="shared" si="1"/>
        <v>121.96409579060264</v>
      </c>
      <c r="H11" s="4">
        <f t="shared" si="2"/>
        <v>11.551590930444675</v>
      </c>
      <c r="I11" s="6">
        <f t="shared" si="3"/>
        <v>110.41250486015797</v>
      </c>
      <c r="J11" s="6">
        <f t="shared" si="4"/>
        <v>1044.7465881843095</v>
      </c>
    </row>
    <row r="12" spans="1:10">
      <c r="A12" t="s">
        <v>19</v>
      </c>
      <c r="B12" s="11">
        <f>(B2*(1+B4)^B6)-FV(B4,B6,-B7)</f>
        <v>1155.1590930444663</v>
      </c>
      <c r="E12" s="3">
        <v>10</v>
      </c>
      <c r="F12" s="4">
        <f t="shared" si="0"/>
        <v>1044.7465881843095</v>
      </c>
      <c r="G12" s="5">
        <f t="shared" si="1"/>
        <v>121.96409579060264</v>
      </c>
      <c r="H12" s="4">
        <f t="shared" si="2"/>
        <v>10.447465881843096</v>
      </c>
      <c r="I12" s="6">
        <f t="shared" si="3"/>
        <v>111.51662990875954</v>
      </c>
      <c r="J12" s="6">
        <f t="shared" si="4"/>
        <v>933.22995827554996</v>
      </c>
    </row>
    <row r="13" spans="1:10">
      <c r="E13" s="3">
        <v>11</v>
      </c>
      <c r="F13" s="4">
        <f t="shared" si="0"/>
        <v>933.22995827554996</v>
      </c>
      <c r="G13" s="5">
        <f t="shared" si="1"/>
        <v>121.96409579060264</v>
      </c>
      <c r="H13" s="4">
        <f t="shared" si="2"/>
        <v>9.3322995827554998</v>
      </c>
      <c r="I13" s="6">
        <f t="shared" si="3"/>
        <v>112.63179620784715</v>
      </c>
      <c r="J13" s="6">
        <f t="shared" si="4"/>
        <v>820.59816206770279</v>
      </c>
    </row>
    <row r="14" spans="1:10">
      <c r="B14" s="1"/>
      <c r="E14" s="3">
        <v>12</v>
      </c>
      <c r="F14" s="4">
        <f t="shared" si="0"/>
        <v>820.59816206770279</v>
      </c>
      <c r="G14" s="5">
        <f t="shared" si="1"/>
        <v>121.96409579060264</v>
      </c>
      <c r="H14" s="4">
        <f t="shared" si="2"/>
        <v>8.2059816206770275</v>
      </c>
      <c r="I14" s="6">
        <f t="shared" si="3"/>
        <v>113.75811416992562</v>
      </c>
      <c r="J14" s="6">
        <f t="shared" si="4"/>
        <v>706.84004789777714</v>
      </c>
    </row>
    <row r="15" spans="1:10">
      <c r="E15" s="3">
        <v>13</v>
      </c>
      <c r="F15" s="4">
        <f t="shared" si="0"/>
        <v>706.84004789777714</v>
      </c>
      <c r="G15" s="5">
        <f t="shared" si="1"/>
        <v>121.96409579060264</v>
      </c>
      <c r="H15" s="4">
        <f t="shared" si="2"/>
        <v>7.0684004789777717</v>
      </c>
      <c r="I15" s="6">
        <f t="shared" si="3"/>
        <v>114.89569531162488</v>
      </c>
      <c r="J15" s="6">
        <f t="shared" si="4"/>
        <v>591.94435258615226</v>
      </c>
    </row>
    <row r="16" spans="1:10">
      <c r="E16" s="3">
        <v>14</v>
      </c>
      <c r="F16" s="4">
        <f t="shared" si="0"/>
        <v>591.94435258615226</v>
      </c>
      <c r="G16" s="5">
        <f t="shared" si="1"/>
        <v>121.96409579060264</v>
      </c>
      <c r="H16" s="4">
        <f t="shared" si="2"/>
        <v>5.9194435258615226</v>
      </c>
      <c r="I16" s="6">
        <f t="shared" si="3"/>
        <v>116.04465226474112</v>
      </c>
      <c r="J16" s="6">
        <f t="shared" si="4"/>
        <v>475.89970032141116</v>
      </c>
    </row>
    <row r="17" spans="2:10">
      <c r="E17" s="3">
        <v>15</v>
      </c>
      <c r="F17" s="4">
        <f t="shared" si="0"/>
        <v>475.89970032141116</v>
      </c>
      <c r="G17" s="5">
        <f t="shared" si="1"/>
        <v>121.96409579060264</v>
      </c>
      <c r="H17" s="4">
        <f t="shared" si="2"/>
        <v>4.7589970032141116</v>
      </c>
      <c r="I17" s="6">
        <f t="shared" si="3"/>
        <v>117.20509878738854</v>
      </c>
      <c r="J17" s="6">
        <f t="shared" si="4"/>
        <v>358.69460153402264</v>
      </c>
    </row>
    <row r="18" spans="2:10">
      <c r="E18" s="3">
        <v>16</v>
      </c>
      <c r="F18" s="4">
        <f t="shared" si="0"/>
        <v>358.69460153402264</v>
      </c>
      <c r="G18" s="5">
        <f t="shared" si="1"/>
        <v>121.96409579060264</v>
      </c>
      <c r="H18" s="4">
        <f t="shared" si="2"/>
        <v>3.5869460153402266</v>
      </c>
      <c r="I18" s="6">
        <f t="shared" si="3"/>
        <v>118.37714977526241</v>
      </c>
      <c r="J18" s="6">
        <f t="shared" si="4"/>
        <v>240.31745175876023</v>
      </c>
    </row>
    <row r="19" spans="2:10">
      <c r="E19" s="3">
        <v>17</v>
      </c>
      <c r="F19" s="4">
        <f t="shared" si="0"/>
        <v>240.31745175876023</v>
      </c>
      <c r="G19" s="5">
        <f t="shared" si="1"/>
        <v>121.96409579060264</v>
      </c>
      <c r="H19" s="4">
        <f t="shared" si="2"/>
        <v>2.4031745175876025</v>
      </c>
      <c r="I19" s="6">
        <f t="shared" si="3"/>
        <v>119.56092127301504</v>
      </c>
      <c r="J19" s="6">
        <f t="shared" si="4"/>
        <v>120.75653048574519</v>
      </c>
    </row>
    <row r="20" spans="2:10">
      <c r="B20" t="str">
        <f>Balance_Comparison!B1</f>
        <v>Amount</v>
      </c>
      <c r="E20" s="7">
        <v>18</v>
      </c>
      <c r="F20" s="8">
        <f t="shared" si="0"/>
        <v>120.75653048574519</v>
      </c>
      <c r="G20" s="9">
        <f t="shared" si="1"/>
        <v>121.96409579060264</v>
      </c>
      <c r="H20" s="8">
        <f t="shared" si="2"/>
        <v>1.2075653048574519</v>
      </c>
      <c r="I20" s="10">
        <f t="shared" si="3"/>
        <v>120.75653048574519</v>
      </c>
      <c r="J20" s="10">
        <f t="shared" si="4"/>
        <v>0</v>
      </c>
    </row>
  </sheetData>
  <pageMargins left="0.7" right="0.7" top="0.75" bottom="0.75" header="0.3" footer="0.3"/>
  <ignoredErrors>
    <ignoredError sqref="B12" calculatedColumn="1"/>
  </ignoredErrors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A2" zoomScale="111" zoomScaleNormal="100" workbookViewId="0">
      <selection activeCell="B21" sqref="B21"/>
    </sheetView>
  </sheetViews>
  <sheetFormatPr defaultRowHeight="14.25"/>
  <cols>
    <col min="1" max="1" width="30.75" customWidth="1"/>
    <col min="2" max="2" width="23.125" customWidth="1"/>
    <col min="6" max="6" width="10.125" customWidth="1"/>
    <col min="7" max="7" width="17.625" bestFit="1" customWidth="1"/>
    <col min="8" max="8" width="20.625" bestFit="1" customWidth="1"/>
    <col min="9" max="9" width="10.125" customWidth="1"/>
    <col min="10" max="10" width="14.75" bestFit="1" customWidth="1"/>
    <col min="11" max="11" width="16.75" style="52" bestFit="1" customWidth="1"/>
  </cols>
  <sheetData>
    <row r="1" spans="1:11">
      <c r="A1" t="s">
        <v>10</v>
      </c>
      <c r="B1" t="s">
        <v>11</v>
      </c>
      <c r="F1" t="s">
        <v>30</v>
      </c>
      <c r="G1" t="s">
        <v>52</v>
      </c>
      <c r="H1" t="s">
        <v>54</v>
      </c>
      <c r="I1" t="s">
        <v>53</v>
      </c>
      <c r="J1" t="s">
        <v>55</v>
      </c>
      <c r="K1" s="52" t="s">
        <v>56</v>
      </c>
    </row>
    <row r="2" spans="1:11">
      <c r="A2" t="s">
        <v>12</v>
      </c>
      <c r="B2">
        <v>2000</v>
      </c>
      <c r="F2">
        <v>0</v>
      </c>
      <c r="H2" s="1"/>
      <c r="K2" s="52">
        <f>Table327[[#This Row],[Amount]]</f>
        <v>2000</v>
      </c>
    </row>
    <row r="3" spans="1:11">
      <c r="A3" t="s">
        <v>13</v>
      </c>
      <c r="B3">
        <v>0.12</v>
      </c>
      <c r="F3">
        <v>1</v>
      </c>
      <c r="G3">
        <f t="shared" ref="G3:G20" si="0">K2</f>
        <v>2000</v>
      </c>
      <c r="H3" s="1">
        <f t="shared" ref="H3:H20" si="1">$B$7</f>
        <v>121.96409579060264</v>
      </c>
      <c r="I3">
        <f>$B$4*Table28[[#This Row],[opening balance]]</f>
        <v>20</v>
      </c>
      <c r="J3">
        <f>Table28[[#This Row],[monthly installment ]]-Table28[[#This Row],[interest]]</f>
        <v>101.96409579060264</v>
      </c>
      <c r="K3" s="52">
        <f>Table28[[#This Row],[opening balance]]-Table28[[#This Row],[principal paid]]</f>
        <v>1898.0359042093974</v>
      </c>
    </row>
    <row r="4" spans="1:11">
      <c r="A4" t="s">
        <v>14</v>
      </c>
      <c r="B4">
        <f>B3/12</f>
        <v>0.01</v>
      </c>
      <c r="F4">
        <v>2</v>
      </c>
      <c r="G4">
        <f t="shared" si="0"/>
        <v>1898.0359042093974</v>
      </c>
      <c r="H4" s="1">
        <f t="shared" si="1"/>
        <v>121.96409579060264</v>
      </c>
      <c r="I4">
        <f>$B$4*Table28[[#This Row],[opening balance]]</f>
        <v>18.980359042093973</v>
      </c>
      <c r="J4">
        <f>Table28[[#This Row],[monthly installment ]]-Table28[[#This Row],[interest]]</f>
        <v>102.98373674850868</v>
      </c>
      <c r="K4" s="52">
        <f>Table28[[#This Row],[opening balance]]-Table28[[#This Row],[principal paid]]</f>
        <v>1795.0521674608888</v>
      </c>
    </row>
    <row r="5" spans="1:11">
      <c r="A5" t="s">
        <v>15</v>
      </c>
      <c r="B5">
        <v>18</v>
      </c>
      <c r="F5">
        <v>3</v>
      </c>
      <c r="G5">
        <f t="shared" si="0"/>
        <v>1795.0521674608888</v>
      </c>
      <c r="H5" s="1">
        <f t="shared" si="1"/>
        <v>121.96409579060264</v>
      </c>
      <c r="I5">
        <f>$B$4*Table28[[#This Row],[opening balance]]</f>
        <v>17.95052167460889</v>
      </c>
      <c r="J5">
        <f>Table28[[#This Row],[monthly installment ]]-Table28[[#This Row],[interest]]</f>
        <v>104.01357411599375</v>
      </c>
      <c r="K5" s="52">
        <f>Table28[[#This Row],[opening balance]]-Table28[[#This Row],[principal paid]]</f>
        <v>1691.0385933448949</v>
      </c>
    </row>
    <row r="6" spans="1:11">
      <c r="A6" t="s">
        <v>16</v>
      </c>
      <c r="B6">
        <v>8</v>
      </c>
      <c r="F6">
        <v>4</v>
      </c>
      <c r="G6">
        <f t="shared" si="0"/>
        <v>1691.0385933448949</v>
      </c>
      <c r="H6" s="1">
        <f t="shared" si="1"/>
        <v>121.96409579060264</v>
      </c>
      <c r="I6">
        <f>$B$4*Table28[[#This Row],[opening balance]]</f>
        <v>16.91038593344895</v>
      </c>
      <c r="J6">
        <f>Table28[[#This Row],[monthly installment ]]-Table28[[#This Row],[interest]]</f>
        <v>105.05370985715369</v>
      </c>
      <c r="K6" s="52">
        <f>Table28[[#This Row],[opening balance]]-Table28[[#This Row],[principal paid]]</f>
        <v>1585.9848834877412</v>
      </c>
    </row>
    <row r="7" spans="1:11">
      <c r="A7" t="s">
        <v>17</v>
      </c>
      <c r="B7" s="1">
        <f>PMT(B4,B5,-B2)</f>
        <v>121.96409579060264</v>
      </c>
      <c r="F7">
        <v>5</v>
      </c>
      <c r="G7">
        <f t="shared" si="0"/>
        <v>1585.9848834877412</v>
      </c>
      <c r="H7" s="1">
        <f t="shared" si="1"/>
        <v>121.96409579060264</v>
      </c>
      <c r="I7">
        <f>$B$4*Table28[[#This Row],[opening balance]]</f>
        <v>15.859848834877413</v>
      </c>
      <c r="J7">
        <f>Table28[[#This Row],[monthly installment ]]-Table28[[#This Row],[interest]]</f>
        <v>106.10424695572523</v>
      </c>
      <c r="K7" s="52">
        <f>Table28[[#This Row],[opening balance]]-Table28[[#This Row],[principal paid]]</f>
        <v>1479.8806365320158</v>
      </c>
    </row>
    <row r="8" spans="1:11">
      <c r="F8">
        <v>6</v>
      </c>
      <c r="G8">
        <f t="shared" si="0"/>
        <v>1479.8806365320158</v>
      </c>
      <c r="H8" s="1">
        <f t="shared" si="1"/>
        <v>121.96409579060264</v>
      </c>
      <c r="I8">
        <f>$B$4*Table28[[#This Row],[opening balance]]</f>
        <v>14.798806365320159</v>
      </c>
      <c r="J8">
        <f>Table28[[#This Row],[monthly installment ]]-Table28[[#This Row],[interest]]</f>
        <v>107.16528942528248</v>
      </c>
      <c r="K8" s="52">
        <f>Table28[[#This Row],[opening balance]]-Table28[[#This Row],[principal paid]]</f>
        <v>1372.7153471067334</v>
      </c>
    </row>
    <row r="9" spans="1:11">
      <c r="F9">
        <v>7</v>
      </c>
      <c r="G9">
        <f t="shared" si="0"/>
        <v>1372.7153471067334</v>
      </c>
      <c r="H9" s="1">
        <f t="shared" si="1"/>
        <v>121.96409579060264</v>
      </c>
      <c r="I9">
        <f>$B$4*Table28[[#This Row],[opening balance]]</f>
        <v>13.727153471067334</v>
      </c>
      <c r="J9">
        <f>Table28[[#This Row],[monthly installment ]]-Table28[[#This Row],[interest]]</f>
        <v>108.2369423195353</v>
      </c>
      <c r="K9" s="52">
        <f>Table28[[#This Row],[opening balance]]-Table28[[#This Row],[principal paid]]</f>
        <v>1264.4784047871981</v>
      </c>
    </row>
    <row r="10" spans="1:11">
      <c r="F10">
        <v>8</v>
      </c>
      <c r="G10">
        <f t="shared" si="0"/>
        <v>1264.4784047871981</v>
      </c>
      <c r="H10" s="1">
        <f t="shared" si="1"/>
        <v>121.96409579060264</v>
      </c>
      <c r="I10">
        <f>$B$4*Table28[[#This Row],[opening balance]]</f>
        <v>12.644784047871982</v>
      </c>
      <c r="J10">
        <f>Table28[[#This Row],[monthly installment ]]-Table28[[#This Row],[interest]]</f>
        <v>109.31931174273066</v>
      </c>
      <c r="K10" s="52">
        <f>Table28[[#This Row],[opening balance]]-Table28[[#This Row],[principal paid]]</f>
        <v>1155.1590930444675</v>
      </c>
    </row>
    <row r="11" spans="1:11">
      <c r="A11" t="s">
        <v>47</v>
      </c>
      <c r="B11" t="s">
        <v>48</v>
      </c>
      <c r="F11">
        <v>9</v>
      </c>
      <c r="G11">
        <f t="shared" si="0"/>
        <v>1155.1590930444675</v>
      </c>
      <c r="H11" s="1">
        <f t="shared" si="1"/>
        <v>121.96409579060264</v>
      </c>
      <c r="I11">
        <f>$B$4*Table28[[#This Row],[opening balance]]</f>
        <v>11.551590930444675</v>
      </c>
      <c r="J11">
        <f>Table28[[#This Row],[monthly installment ]]-Table28[[#This Row],[interest]]</f>
        <v>110.41250486015797</v>
      </c>
      <c r="K11" s="52">
        <f>Table28[[#This Row],[opening balance]]-Table28[[#This Row],[principal paid]]</f>
        <v>1044.7465881843095</v>
      </c>
    </row>
    <row r="12" spans="1:11">
      <c r="F12">
        <v>10</v>
      </c>
      <c r="G12">
        <f t="shared" si="0"/>
        <v>1044.7465881843095</v>
      </c>
      <c r="H12" s="1">
        <f t="shared" si="1"/>
        <v>121.96409579060264</v>
      </c>
      <c r="I12">
        <f>$B$4*Table28[[#This Row],[opening balance]]</f>
        <v>10.447465881843096</v>
      </c>
      <c r="J12">
        <f>Table28[[#This Row],[monthly installment ]]-Table28[[#This Row],[interest]]</f>
        <v>111.51662990875954</v>
      </c>
      <c r="K12" s="52">
        <f>Table28[[#This Row],[opening balance]]-Table28[[#This Row],[principal paid]]</f>
        <v>933.22995827554996</v>
      </c>
    </row>
    <row r="13" spans="1:11">
      <c r="F13">
        <v>11</v>
      </c>
      <c r="G13">
        <f t="shared" si="0"/>
        <v>933.22995827554996</v>
      </c>
      <c r="H13" s="1">
        <f t="shared" si="1"/>
        <v>121.96409579060264</v>
      </c>
      <c r="I13">
        <f>$B$4*Table28[[#This Row],[opening balance]]</f>
        <v>9.3322995827554998</v>
      </c>
      <c r="J13">
        <f>Table28[[#This Row],[monthly installment ]]-Table28[[#This Row],[interest]]</f>
        <v>112.63179620784715</v>
      </c>
      <c r="K13" s="52">
        <f>Table28[[#This Row],[opening balance]]-Table28[[#This Row],[principal paid]]</f>
        <v>820.59816206770279</v>
      </c>
    </row>
    <row r="14" spans="1:11">
      <c r="F14">
        <v>12</v>
      </c>
      <c r="G14">
        <f t="shared" si="0"/>
        <v>820.59816206770279</v>
      </c>
      <c r="H14" s="1">
        <f t="shared" si="1"/>
        <v>121.96409579060264</v>
      </c>
      <c r="I14">
        <f>$B$4*Table28[[#This Row],[opening balance]]</f>
        <v>8.2059816206770275</v>
      </c>
      <c r="J14">
        <f>Table28[[#This Row],[monthly installment ]]-Table28[[#This Row],[interest]]</f>
        <v>113.75811416992562</v>
      </c>
      <c r="K14" s="52">
        <f>Table28[[#This Row],[opening balance]]-Table28[[#This Row],[principal paid]]</f>
        <v>706.84004789777714</v>
      </c>
    </row>
    <row r="15" spans="1:11">
      <c r="F15">
        <v>13</v>
      </c>
      <c r="G15">
        <f t="shared" si="0"/>
        <v>706.84004789777714</v>
      </c>
      <c r="H15" s="1">
        <f t="shared" si="1"/>
        <v>121.96409579060264</v>
      </c>
      <c r="I15">
        <f>$B$4*Table28[[#This Row],[opening balance]]</f>
        <v>7.0684004789777717</v>
      </c>
      <c r="J15">
        <f>Table28[[#This Row],[monthly installment ]]-Table28[[#This Row],[interest]]</f>
        <v>114.89569531162488</v>
      </c>
      <c r="K15" s="52">
        <f>Table28[[#This Row],[opening balance]]-Table28[[#This Row],[principal paid]]</f>
        <v>591.94435258615226</v>
      </c>
    </row>
    <row r="16" spans="1:11">
      <c r="F16">
        <v>14</v>
      </c>
      <c r="G16">
        <f t="shared" si="0"/>
        <v>591.94435258615226</v>
      </c>
      <c r="H16" s="1">
        <f t="shared" si="1"/>
        <v>121.96409579060264</v>
      </c>
      <c r="I16">
        <f>$B$4*Table28[[#This Row],[opening balance]]</f>
        <v>5.9194435258615226</v>
      </c>
      <c r="J16">
        <f>Table28[[#This Row],[monthly installment ]]-Table28[[#This Row],[interest]]</f>
        <v>116.04465226474112</v>
      </c>
      <c r="K16" s="52">
        <f>Table28[[#This Row],[opening balance]]-Table28[[#This Row],[principal paid]]</f>
        <v>475.89970032141116</v>
      </c>
    </row>
    <row r="17" spans="1:11">
      <c r="F17">
        <v>15</v>
      </c>
      <c r="G17">
        <f t="shared" si="0"/>
        <v>475.89970032141116</v>
      </c>
      <c r="H17" s="1">
        <f t="shared" si="1"/>
        <v>121.96409579060264</v>
      </c>
      <c r="I17">
        <f>$B$4*Table28[[#This Row],[opening balance]]</f>
        <v>4.7589970032141116</v>
      </c>
      <c r="J17">
        <f>Table28[[#This Row],[monthly installment ]]-Table28[[#This Row],[interest]]</f>
        <v>117.20509878738854</v>
      </c>
      <c r="K17" s="52">
        <f>Table28[[#This Row],[opening balance]]-Table28[[#This Row],[principal paid]]</f>
        <v>358.69460153402264</v>
      </c>
    </row>
    <row r="18" spans="1:11">
      <c r="F18">
        <v>16</v>
      </c>
      <c r="G18">
        <f t="shared" si="0"/>
        <v>358.69460153402264</v>
      </c>
      <c r="H18" s="1">
        <f t="shared" si="1"/>
        <v>121.96409579060264</v>
      </c>
      <c r="I18">
        <f>$B$4*Table28[[#This Row],[opening balance]]</f>
        <v>3.5869460153402266</v>
      </c>
      <c r="J18">
        <f>Table28[[#This Row],[monthly installment ]]-Table28[[#This Row],[interest]]</f>
        <v>118.37714977526241</v>
      </c>
      <c r="K18" s="52">
        <f>Table28[[#This Row],[opening balance]]-Table28[[#This Row],[principal paid]]</f>
        <v>240.31745175876023</v>
      </c>
    </row>
    <row r="19" spans="1:11">
      <c r="A19" t="s">
        <v>49</v>
      </c>
      <c r="B19" t="s">
        <v>50</v>
      </c>
      <c r="F19">
        <v>17</v>
      </c>
      <c r="G19">
        <f t="shared" si="0"/>
        <v>240.31745175876023</v>
      </c>
      <c r="H19" s="1">
        <f t="shared" si="1"/>
        <v>121.96409579060264</v>
      </c>
      <c r="I19">
        <f>$B$4*Table28[[#This Row],[opening balance]]</f>
        <v>2.4031745175876025</v>
      </c>
      <c r="J19">
        <f>Table28[[#This Row],[monthly installment ]]-Table28[[#This Row],[interest]]</f>
        <v>119.56092127301504</v>
      </c>
      <c r="K19" s="52">
        <f>Table28[[#This Row],[opening balance]]-Table28[[#This Row],[principal paid]]</f>
        <v>120.75653048574519</v>
      </c>
    </row>
    <row r="20" spans="1:11">
      <c r="A20" t="s">
        <v>51</v>
      </c>
      <c r="B20" s="1"/>
      <c r="F20">
        <v>18</v>
      </c>
      <c r="G20">
        <f t="shared" si="0"/>
        <v>120.75653048574519</v>
      </c>
      <c r="H20" s="1">
        <f t="shared" si="1"/>
        <v>121.96409579060264</v>
      </c>
      <c r="I20">
        <f>$B$4*Table28[[#This Row],[opening balance]]</f>
        <v>1.2075653048574519</v>
      </c>
      <c r="J20">
        <f>Table28[[#This Row],[monthly installment ]]-Table28[[#This Row],[interest]]</f>
        <v>120.75653048574519</v>
      </c>
      <c r="K20" s="52">
        <f>Table28[[#This Row],[opening balance]]-Table28[[#This Row],[principal paid]]</f>
        <v>0</v>
      </c>
    </row>
    <row r="21" spans="1:11">
      <c r="A21" t="s">
        <v>48</v>
      </c>
      <c r="B21" s="1">
        <f t="shared" ref="B21" si="2">PV(B4,B5-B6,-B7)</f>
        <v>1155.1590930444697</v>
      </c>
    </row>
  </sheetData>
  <pageMargins left="0.7" right="0.7" top="0.75" bottom="0.75" header="0.3" footer="0.3"/>
  <pageSetup paperSize="9" orientation="portrait" horizontalDpi="4294967293" verticalDpi="0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2"/>
  <sheetViews>
    <sheetView topLeftCell="H1" zoomScale="99" workbookViewId="0">
      <selection activeCell="J8" sqref="J8"/>
    </sheetView>
  </sheetViews>
  <sheetFormatPr defaultRowHeight="14.25"/>
  <cols>
    <col min="1" max="4" width="20.125" customWidth="1"/>
    <col min="6" max="6" width="11" customWidth="1"/>
    <col min="7" max="7" width="16.75" customWidth="1"/>
    <col min="8" max="8" width="15.25" customWidth="1"/>
    <col min="9" max="9" width="11.5" customWidth="1"/>
    <col min="10" max="10" width="19.5" customWidth="1"/>
    <col min="11" max="11" width="16" customWidth="1"/>
    <col min="15" max="15" width="11.625" bestFit="1" customWidth="1"/>
    <col min="16" max="16" width="13.125" bestFit="1" customWidth="1"/>
  </cols>
  <sheetData>
    <row r="1" spans="1:11" ht="15">
      <c r="A1" t="s">
        <v>21</v>
      </c>
      <c r="B1" t="s">
        <v>10</v>
      </c>
      <c r="C1" t="s">
        <v>11</v>
      </c>
      <c r="F1" s="17" t="s">
        <v>30</v>
      </c>
      <c r="G1" s="18" t="s">
        <v>5</v>
      </c>
      <c r="H1" s="18" t="s">
        <v>6</v>
      </c>
      <c r="I1" s="18" t="s">
        <v>7</v>
      </c>
      <c r="J1" s="18" t="s">
        <v>8</v>
      </c>
      <c r="K1" s="19" t="s">
        <v>9</v>
      </c>
    </row>
    <row r="2" spans="1:11">
      <c r="B2" t="s">
        <v>12</v>
      </c>
      <c r="C2">
        <v>100000</v>
      </c>
      <c r="F2">
        <v>0</v>
      </c>
      <c r="G2">
        <v>0</v>
      </c>
      <c r="H2">
        <v>0</v>
      </c>
      <c r="I2">
        <v>0</v>
      </c>
      <c r="J2">
        <v>0</v>
      </c>
      <c r="K2">
        <f>Table8[[#This Row],[Amount]]</f>
        <v>100000</v>
      </c>
    </row>
    <row r="3" spans="1:11">
      <c r="B3" t="s">
        <v>13</v>
      </c>
      <c r="C3">
        <f>7.2/100</f>
        <v>7.2000000000000008E-2</v>
      </c>
      <c r="F3">
        <v>1</v>
      </c>
      <c r="G3" s="16">
        <f>K2</f>
        <v>100000</v>
      </c>
      <c r="H3" s="16">
        <f>$C$6</f>
        <v>719.58869140498882</v>
      </c>
      <c r="I3" s="16">
        <f>G3*$C$4</f>
        <v>600.00000000000011</v>
      </c>
      <c r="J3" s="16">
        <f>H3-I3</f>
        <v>119.58869140498871</v>
      </c>
      <c r="K3" s="16">
        <f>G3-J3</f>
        <v>99880.411308595008</v>
      </c>
    </row>
    <row r="4" spans="1:11">
      <c r="B4" t="s">
        <v>14</v>
      </c>
      <c r="C4">
        <f>C3/12</f>
        <v>6.000000000000001E-3</v>
      </c>
      <c r="F4">
        <f>1+F3</f>
        <v>2</v>
      </c>
      <c r="G4" s="16">
        <f t="shared" ref="G4:G67" si="0">K3</f>
        <v>99880.411308595008</v>
      </c>
      <c r="H4" s="16">
        <f t="shared" ref="H4:H62" si="1">$C$6</f>
        <v>719.58869140498882</v>
      </c>
      <c r="I4" s="16">
        <f t="shared" ref="I4:I62" si="2">G4*$C$4</f>
        <v>599.28246785157012</v>
      </c>
      <c r="J4" s="16">
        <f t="shared" ref="J4:J67" si="3">H4-I4</f>
        <v>120.3062235534187</v>
      </c>
      <c r="K4" s="16">
        <f t="shared" ref="K4:K67" si="4">G4-J4</f>
        <v>99760.105085041592</v>
      </c>
    </row>
    <row r="5" spans="1:11">
      <c r="B5" t="s">
        <v>15</v>
      </c>
      <c r="C5">
        <f>25*12</f>
        <v>300</v>
      </c>
      <c r="F5">
        <f t="shared" ref="F5:F68" si="5">1+F4</f>
        <v>3</v>
      </c>
      <c r="G5" s="16">
        <f t="shared" si="0"/>
        <v>99760.105085041592</v>
      </c>
      <c r="H5" s="16">
        <f t="shared" si="1"/>
        <v>719.58869140498882</v>
      </c>
      <c r="I5" s="16">
        <f t="shared" si="2"/>
        <v>598.56063051024967</v>
      </c>
      <c r="J5" s="16">
        <f t="shared" si="3"/>
        <v>121.02806089473916</v>
      </c>
      <c r="K5" s="16">
        <f t="shared" si="4"/>
        <v>99639.077024146856</v>
      </c>
    </row>
    <row r="6" spans="1:11">
      <c r="B6" t="s">
        <v>17</v>
      </c>
      <c r="C6" s="1">
        <f>PMT(C4,C5,-C2)</f>
        <v>719.58869140498882</v>
      </c>
      <c r="F6">
        <f t="shared" si="5"/>
        <v>4</v>
      </c>
      <c r="G6" s="16">
        <f t="shared" si="0"/>
        <v>99639.077024146856</v>
      </c>
      <c r="H6" s="16">
        <f t="shared" si="1"/>
        <v>719.58869140498882</v>
      </c>
      <c r="I6" s="16">
        <f t="shared" si="2"/>
        <v>597.83446214488129</v>
      </c>
      <c r="J6" s="16">
        <f t="shared" si="3"/>
        <v>121.75422926010754</v>
      </c>
      <c r="K6" s="16">
        <f t="shared" si="4"/>
        <v>99517.322794886742</v>
      </c>
    </row>
    <row r="7" spans="1:11">
      <c r="B7" t="s">
        <v>22</v>
      </c>
      <c r="C7" s="1">
        <f>PV(C4,C5-(5*12),-C6)</f>
        <v>91393.831473758677</v>
      </c>
      <c r="F7">
        <f t="shared" si="5"/>
        <v>5</v>
      </c>
      <c r="G7" s="16">
        <f t="shared" si="0"/>
        <v>99517.322794886742</v>
      </c>
      <c r="H7" s="16">
        <f t="shared" si="1"/>
        <v>719.58869140498882</v>
      </c>
      <c r="I7" s="16">
        <f t="shared" si="2"/>
        <v>597.10393676932051</v>
      </c>
      <c r="J7" s="16">
        <f t="shared" si="3"/>
        <v>122.48475463566831</v>
      </c>
      <c r="K7" s="16">
        <f t="shared" si="4"/>
        <v>99394.838040251081</v>
      </c>
    </row>
    <row r="8" spans="1:11">
      <c r="F8">
        <f t="shared" si="5"/>
        <v>6</v>
      </c>
      <c r="G8" s="16">
        <f t="shared" si="0"/>
        <v>99394.838040251081</v>
      </c>
      <c r="H8" s="16">
        <f t="shared" si="1"/>
        <v>719.58869140498882</v>
      </c>
      <c r="I8" s="16">
        <f t="shared" si="2"/>
        <v>596.36902824150661</v>
      </c>
      <c r="J8" s="16">
        <f t="shared" si="3"/>
        <v>123.21966316348221</v>
      </c>
      <c r="K8" s="16">
        <f t="shared" si="4"/>
        <v>99271.618377087594</v>
      </c>
    </row>
    <row r="9" spans="1:11">
      <c r="F9">
        <f t="shared" si="5"/>
        <v>7</v>
      </c>
      <c r="G9" s="16">
        <f t="shared" si="0"/>
        <v>99271.618377087594</v>
      </c>
      <c r="H9" s="16">
        <f t="shared" si="1"/>
        <v>719.58869140498882</v>
      </c>
      <c r="I9" s="16">
        <f t="shared" si="2"/>
        <v>595.62971026252569</v>
      </c>
      <c r="J9" s="16">
        <f t="shared" si="3"/>
        <v>123.95898114246313</v>
      </c>
      <c r="K9" s="16">
        <f t="shared" si="4"/>
        <v>99147.659395945127</v>
      </c>
    </row>
    <row r="10" spans="1:11">
      <c r="A10" t="s">
        <v>23</v>
      </c>
      <c r="B10" t="s">
        <v>10</v>
      </c>
      <c r="C10" t="s">
        <v>11</v>
      </c>
      <c r="F10">
        <f t="shared" si="5"/>
        <v>8</v>
      </c>
      <c r="G10" s="16">
        <f t="shared" si="0"/>
        <v>99147.659395945127</v>
      </c>
      <c r="H10" s="16">
        <f t="shared" si="1"/>
        <v>719.58869140498882</v>
      </c>
      <c r="I10" s="16">
        <f t="shared" si="2"/>
        <v>594.88595637567084</v>
      </c>
      <c r="J10" s="16">
        <f t="shared" si="3"/>
        <v>124.70273502931798</v>
      </c>
      <c r="K10" s="16">
        <f t="shared" si="4"/>
        <v>99022.956660915806</v>
      </c>
    </row>
    <row r="11" spans="1:11">
      <c r="B11" t="s">
        <v>12</v>
      </c>
      <c r="C11" s="1">
        <f>C7</f>
        <v>91393.831473758677</v>
      </c>
      <c r="F11">
        <f t="shared" si="5"/>
        <v>9</v>
      </c>
      <c r="G11" s="16">
        <f t="shared" si="0"/>
        <v>99022.956660915806</v>
      </c>
      <c r="H11" s="16">
        <f t="shared" si="1"/>
        <v>719.58869140498882</v>
      </c>
      <c r="I11" s="16">
        <f t="shared" si="2"/>
        <v>594.13773996549492</v>
      </c>
      <c r="J11" s="16">
        <f t="shared" si="3"/>
        <v>125.45095143949391</v>
      </c>
      <c r="K11" s="16">
        <f t="shared" si="4"/>
        <v>98897.505709476318</v>
      </c>
    </row>
    <row r="12" spans="1:11">
      <c r="B12" t="s">
        <v>13</v>
      </c>
      <c r="C12">
        <f>9/100</f>
        <v>0.09</v>
      </c>
      <c r="F12">
        <f t="shared" si="5"/>
        <v>10</v>
      </c>
      <c r="G12" s="16">
        <f t="shared" si="0"/>
        <v>98897.505709476318</v>
      </c>
      <c r="H12" s="16">
        <f t="shared" si="1"/>
        <v>719.58869140498882</v>
      </c>
      <c r="I12" s="16">
        <f t="shared" si="2"/>
        <v>593.38503425685803</v>
      </c>
      <c r="J12" s="16">
        <f t="shared" si="3"/>
        <v>126.20365714813079</v>
      </c>
      <c r="K12" s="16">
        <f t="shared" si="4"/>
        <v>98771.302052328188</v>
      </c>
    </row>
    <row r="13" spans="1:11">
      <c r="B13" t="s">
        <v>14</v>
      </c>
      <c r="C13">
        <f>C12/12</f>
        <v>7.4999999999999997E-3</v>
      </c>
      <c r="F13">
        <f t="shared" si="5"/>
        <v>11</v>
      </c>
      <c r="G13" s="16">
        <f t="shared" si="0"/>
        <v>98771.302052328188</v>
      </c>
      <c r="H13" s="16">
        <f t="shared" si="1"/>
        <v>719.58869140498882</v>
      </c>
      <c r="I13" s="16">
        <f t="shared" si="2"/>
        <v>592.62781231396923</v>
      </c>
      <c r="J13" s="16">
        <f t="shared" si="3"/>
        <v>126.96087909101959</v>
      </c>
      <c r="K13" s="16">
        <f t="shared" si="4"/>
        <v>98644.341173237175</v>
      </c>
    </row>
    <row r="14" spans="1:11">
      <c r="B14" t="s">
        <v>15</v>
      </c>
      <c r="C14">
        <f>20*12</f>
        <v>240</v>
      </c>
      <c r="F14">
        <f t="shared" si="5"/>
        <v>12</v>
      </c>
      <c r="G14" s="16">
        <f t="shared" si="0"/>
        <v>98644.341173237175</v>
      </c>
      <c r="H14" s="16">
        <f t="shared" si="1"/>
        <v>719.58869140498882</v>
      </c>
      <c r="I14" s="16">
        <f t="shared" si="2"/>
        <v>591.86604703942317</v>
      </c>
      <c r="J14" s="16">
        <f t="shared" si="3"/>
        <v>127.72264436556566</v>
      </c>
      <c r="K14" s="16">
        <f t="shared" si="4"/>
        <v>98516.618528871608</v>
      </c>
    </row>
    <row r="15" spans="1:11">
      <c r="B15" t="s">
        <v>17</v>
      </c>
      <c r="C15" s="1">
        <f>PMT(C13,C14,-C11)</f>
        <v>822.29402381537159</v>
      </c>
      <c r="F15">
        <f t="shared" si="5"/>
        <v>13</v>
      </c>
      <c r="G15" s="16">
        <f t="shared" si="0"/>
        <v>98516.618528871608</v>
      </c>
      <c r="H15" s="16">
        <f t="shared" si="1"/>
        <v>719.58869140498882</v>
      </c>
      <c r="I15" s="16">
        <f t="shared" si="2"/>
        <v>591.09971117322971</v>
      </c>
      <c r="J15" s="16">
        <f t="shared" si="3"/>
        <v>128.48898023175911</v>
      </c>
      <c r="K15" s="16">
        <f t="shared" si="4"/>
        <v>98388.129548639845</v>
      </c>
    </row>
    <row r="16" spans="1:11">
      <c r="F16">
        <f t="shared" si="5"/>
        <v>14</v>
      </c>
      <c r="G16" s="16">
        <f t="shared" si="0"/>
        <v>98388.129548639845</v>
      </c>
      <c r="H16" s="16">
        <f t="shared" si="1"/>
        <v>719.58869140498882</v>
      </c>
      <c r="I16" s="16">
        <f t="shared" si="2"/>
        <v>590.32877729183917</v>
      </c>
      <c r="J16" s="16">
        <f t="shared" si="3"/>
        <v>129.25991411314965</v>
      </c>
      <c r="K16" s="16">
        <f t="shared" si="4"/>
        <v>98258.869634526694</v>
      </c>
    </row>
    <row r="17" spans="4:16">
      <c r="F17">
        <f t="shared" si="5"/>
        <v>15</v>
      </c>
      <c r="G17" s="16">
        <f t="shared" si="0"/>
        <v>98258.869634526694</v>
      </c>
      <c r="H17" s="16">
        <f t="shared" si="1"/>
        <v>719.58869140498882</v>
      </c>
      <c r="I17" s="16">
        <f t="shared" si="2"/>
        <v>589.55321780716031</v>
      </c>
      <c r="J17" s="16">
        <f t="shared" si="3"/>
        <v>130.03547359782851</v>
      </c>
      <c r="K17" s="16">
        <f t="shared" si="4"/>
        <v>98128.834160928862</v>
      </c>
    </row>
    <row r="18" spans="4:16">
      <c r="D18" s="1"/>
      <c r="F18">
        <f t="shared" si="5"/>
        <v>16</v>
      </c>
      <c r="G18" s="16">
        <f t="shared" si="0"/>
        <v>98128.834160928862</v>
      </c>
      <c r="H18" s="16">
        <f t="shared" si="1"/>
        <v>719.58869140498882</v>
      </c>
      <c r="I18" s="16">
        <f t="shared" si="2"/>
        <v>588.77300496557325</v>
      </c>
      <c r="J18" s="16">
        <f t="shared" si="3"/>
        <v>130.81568643941557</v>
      </c>
      <c r="K18" s="16">
        <f t="shared" si="4"/>
        <v>97998.01847448945</v>
      </c>
    </row>
    <row r="19" spans="4:16">
      <c r="F19">
        <f t="shared" si="5"/>
        <v>17</v>
      </c>
      <c r="G19" s="16">
        <f t="shared" si="0"/>
        <v>97998.01847448945</v>
      </c>
      <c r="H19" s="16">
        <f t="shared" si="1"/>
        <v>719.58869140498882</v>
      </c>
      <c r="I19" s="16">
        <f t="shared" si="2"/>
        <v>587.98811084693682</v>
      </c>
      <c r="J19" s="16">
        <f t="shared" si="3"/>
        <v>131.600580558052</v>
      </c>
      <c r="K19" s="16">
        <f t="shared" si="4"/>
        <v>97866.417893931401</v>
      </c>
    </row>
    <row r="20" spans="4:16">
      <c r="F20">
        <f t="shared" si="5"/>
        <v>18</v>
      </c>
      <c r="G20" s="16">
        <f t="shared" si="0"/>
        <v>97866.417893931401</v>
      </c>
      <c r="H20" s="16">
        <f t="shared" si="1"/>
        <v>719.58869140498882</v>
      </c>
      <c r="I20" s="16">
        <f t="shared" si="2"/>
        <v>587.19850736358853</v>
      </c>
      <c r="J20" s="16">
        <f t="shared" si="3"/>
        <v>132.39018404140029</v>
      </c>
      <c r="K20" s="16">
        <f t="shared" si="4"/>
        <v>97734.027709889997</v>
      </c>
    </row>
    <row r="21" spans="4:16">
      <c r="F21">
        <f t="shared" si="5"/>
        <v>19</v>
      </c>
      <c r="G21" s="16">
        <f t="shared" si="0"/>
        <v>97734.027709889997</v>
      </c>
      <c r="H21" s="16">
        <f t="shared" si="1"/>
        <v>719.58869140498882</v>
      </c>
      <c r="I21" s="16">
        <f t="shared" si="2"/>
        <v>586.40416625934006</v>
      </c>
      <c r="J21" s="16">
        <f t="shared" si="3"/>
        <v>133.18452514564876</v>
      </c>
      <c r="K21" s="16">
        <f t="shared" si="4"/>
        <v>97600.843184744343</v>
      </c>
    </row>
    <row r="22" spans="4:16">
      <c r="F22">
        <f t="shared" si="5"/>
        <v>20</v>
      </c>
      <c r="G22" s="16">
        <f t="shared" si="0"/>
        <v>97600.843184744343</v>
      </c>
      <c r="H22" s="16">
        <f t="shared" si="1"/>
        <v>719.58869140498882</v>
      </c>
      <c r="I22" s="16">
        <f t="shared" si="2"/>
        <v>585.60505910846621</v>
      </c>
      <c r="J22" s="16">
        <f t="shared" si="3"/>
        <v>133.98363229652261</v>
      </c>
      <c r="K22" s="16">
        <f t="shared" si="4"/>
        <v>97466.859552447815</v>
      </c>
    </row>
    <row r="23" spans="4:16">
      <c r="F23">
        <f t="shared" si="5"/>
        <v>21</v>
      </c>
      <c r="G23" s="16">
        <f t="shared" si="0"/>
        <v>97466.859552447815</v>
      </c>
      <c r="H23" s="16">
        <f t="shared" si="1"/>
        <v>719.58869140498882</v>
      </c>
      <c r="I23" s="16">
        <f t="shared" si="2"/>
        <v>584.80115731468698</v>
      </c>
      <c r="J23" s="16">
        <f t="shared" si="3"/>
        <v>134.78753409030185</v>
      </c>
      <c r="K23" s="16">
        <f t="shared" si="4"/>
        <v>97332.072018357518</v>
      </c>
      <c r="N23" s="22" t="s">
        <v>33</v>
      </c>
      <c r="O23" s="22"/>
      <c r="P23" s="22"/>
    </row>
    <row r="24" spans="4:16">
      <c r="F24">
        <f t="shared" si="5"/>
        <v>22</v>
      </c>
      <c r="G24" s="16">
        <f t="shared" si="0"/>
        <v>97332.072018357518</v>
      </c>
      <c r="H24" s="16">
        <f t="shared" si="1"/>
        <v>719.58869140498882</v>
      </c>
      <c r="I24" s="16">
        <f t="shared" si="2"/>
        <v>583.99243211014516</v>
      </c>
      <c r="J24" s="16">
        <f t="shared" si="3"/>
        <v>135.59625929484366</v>
      </c>
      <c r="K24" s="16">
        <f t="shared" si="4"/>
        <v>97196.475759062669</v>
      </c>
      <c r="N24" s="22" t="s">
        <v>34</v>
      </c>
      <c r="O24" s="23">
        <f>C6</f>
        <v>719.58869140498882</v>
      </c>
      <c r="P24" s="22"/>
    </row>
    <row r="25" spans="4:16">
      <c r="F25">
        <f t="shared" si="5"/>
        <v>23</v>
      </c>
      <c r="G25" s="16">
        <f t="shared" si="0"/>
        <v>97196.475759062669</v>
      </c>
      <c r="H25" s="16">
        <f t="shared" si="1"/>
        <v>719.58869140498882</v>
      </c>
      <c r="I25" s="16">
        <f t="shared" si="2"/>
        <v>583.17885455437613</v>
      </c>
      <c r="J25" s="16">
        <f t="shared" si="3"/>
        <v>136.40983685061269</v>
      </c>
      <c r="K25" s="16">
        <f t="shared" si="4"/>
        <v>97060.065922212059</v>
      </c>
      <c r="N25" s="22" t="s">
        <v>35</v>
      </c>
      <c r="O25" s="23">
        <f>C7</f>
        <v>91393.831473758677</v>
      </c>
      <c r="P25" s="24">
        <f>K62</f>
        <v>91393.831473758721</v>
      </c>
    </row>
    <row r="26" spans="4:16">
      <c r="F26">
        <f t="shared" si="5"/>
        <v>24</v>
      </c>
      <c r="G26" s="16">
        <f t="shared" si="0"/>
        <v>97060.065922212059</v>
      </c>
      <c r="H26" s="16">
        <f t="shared" si="1"/>
        <v>719.58869140498882</v>
      </c>
      <c r="I26" s="16">
        <f t="shared" si="2"/>
        <v>582.36039553327248</v>
      </c>
      <c r="J26" s="16">
        <f t="shared" si="3"/>
        <v>137.22829587171634</v>
      </c>
      <c r="K26" s="16">
        <f t="shared" si="4"/>
        <v>96922.837626340348</v>
      </c>
      <c r="N26" s="22" t="s">
        <v>36</v>
      </c>
      <c r="O26" s="23">
        <f>C15-C6</f>
        <v>102.70533241038277</v>
      </c>
      <c r="P26" s="22"/>
    </row>
    <row r="27" spans="4:16">
      <c r="F27">
        <f t="shared" si="5"/>
        <v>25</v>
      </c>
      <c r="G27" s="16">
        <f t="shared" si="0"/>
        <v>96922.837626340348</v>
      </c>
      <c r="H27" s="16">
        <f t="shared" si="1"/>
        <v>719.58869140498882</v>
      </c>
      <c r="I27" s="16">
        <f t="shared" si="2"/>
        <v>581.5370257580422</v>
      </c>
      <c r="J27" s="16">
        <f t="shared" si="3"/>
        <v>138.05166564694662</v>
      </c>
      <c r="K27" s="16">
        <f t="shared" si="4"/>
        <v>96784.785960693407</v>
      </c>
    </row>
    <row r="28" spans="4:16">
      <c r="F28">
        <f t="shared" si="5"/>
        <v>26</v>
      </c>
      <c r="G28" s="16">
        <f t="shared" si="0"/>
        <v>96784.785960693407</v>
      </c>
      <c r="H28" s="16">
        <f t="shared" si="1"/>
        <v>719.58869140498882</v>
      </c>
      <c r="I28" s="16">
        <f t="shared" si="2"/>
        <v>580.7087157641605</v>
      </c>
      <c r="J28" s="16">
        <f t="shared" si="3"/>
        <v>138.87997564082832</v>
      </c>
      <c r="K28" s="16">
        <f t="shared" si="4"/>
        <v>96645.905985052581</v>
      </c>
    </row>
    <row r="29" spans="4:16">
      <c r="F29">
        <f t="shared" si="5"/>
        <v>27</v>
      </c>
      <c r="G29" s="16">
        <f t="shared" si="0"/>
        <v>96645.905985052581</v>
      </c>
      <c r="H29" s="16">
        <f t="shared" si="1"/>
        <v>719.58869140498882</v>
      </c>
      <c r="I29" s="16">
        <f t="shared" si="2"/>
        <v>579.87543591031556</v>
      </c>
      <c r="J29" s="16">
        <f t="shared" si="3"/>
        <v>139.71325549467326</v>
      </c>
      <c r="K29" s="16">
        <f t="shared" si="4"/>
        <v>96506.192729557908</v>
      </c>
    </row>
    <row r="30" spans="4:16">
      <c r="F30">
        <f t="shared" si="5"/>
        <v>28</v>
      </c>
      <c r="G30" s="16">
        <f t="shared" si="0"/>
        <v>96506.192729557908</v>
      </c>
      <c r="H30" s="16">
        <f t="shared" si="1"/>
        <v>719.58869140498882</v>
      </c>
      <c r="I30" s="16">
        <f t="shared" si="2"/>
        <v>579.03715637734751</v>
      </c>
      <c r="J30" s="16">
        <f t="shared" si="3"/>
        <v>140.55153502764131</v>
      </c>
      <c r="K30" s="16">
        <f t="shared" si="4"/>
        <v>96365.641194530268</v>
      </c>
    </row>
    <row r="31" spans="4:16">
      <c r="F31">
        <f t="shared" si="5"/>
        <v>29</v>
      </c>
      <c r="G31" s="16">
        <f t="shared" si="0"/>
        <v>96365.641194530268</v>
      </c>
      <c r="H31" s="16">
        <f t="shared" si="1"/>
        <v>719.58869140498882</v>
      </c>
      <c r="I31" s="16">
        <f t="shared" si="2"/>
        <v>578.19384716718173</v>
      </c>
      <c r="J31" s="16">
        <f t="shared" si="3"/>
        <v>141.39484423780709</v>
      </c>
      <c r="K31" s="16">
        <f t="shared" si="4"/>
        <v>96224.246350292466</v>
      </c>
    </row>
    <row r="32" spans="4:16">
      <c r="F32">
        <f t="shared" si="5"/>
        <v>30</v>
      </c>
      <c r="G32" s="16">
        <f t="shared" si="0"/>
        <v>96224.246350292466</v>
      </c>
      <c r="H32" s="16">
        <f t="shared" si="1"/>
        <v>719.58869140498882</v>
      </c>
      <c r="I32" s="16">
        <f t="shared" si="2"/>
        <v>577.34547810175491</v>
      </c>
      <c r="J32" s="16">
        <f t="shared" si="3"/>
        <v>142.24321330323392</v>
      </c>
      <c r="K32" s="16">
        <f t="shared" si="4"/>
        <v>96082.003136989239</v>
      </c>
    </row>
    <row r="33" spans="6:11">
      <c r="F33">
        <f t="shared" si="5"/>
        <v>31</v>
      </c>
      <c r="G33" s="16">
        <f t="shared" si="0"/>
        <v>96082.003136989239</v>
      </c>
      <c r="H33" s="16">
        <f t="shared" si="1"/>
        <v>719.58869140498882</v>
      </c>
      <c r="I33" s="16">
        <f t="shared" si="2"/>
        <v>576.49201882193552</v>
      </c>
      <c r="J33" s="16">
        <f t="shared" si="3"/>
        <v>143.09667258305331</v>
      </c>
      <c r="K33" s="16">
        <f t="shared" si="4"/>
        <v>95938.906464406187</v>
      </c>
    </row>
    <row r="34" spans="6:11">
      <c r="F34">
        <f t="shared" si="5"/>
        <v>32</v>
      </c>
      <c r="G34" s="16">
        <f t="shared" si="0"/>
        <v>95938.906464406187</v>
      </c>
      <c r="H34" s="16">
        <f t="shared" si="1"/>
        <v>719.58869140498882</v>
      </c>
      <c r="I34" s="16">
        <f t="shared" si="2"/>
        <v>575.63343878643718</v>
      </c>
      <c r="J34" s="16">
        <f t="shared" si="3"/>
        <v>143.95525261855164</v>
      </c>
      <c r="K34" s="16">
        <f t="shared" si="4"/>
        <v>95794.951211787629</v>
      </c>
    </row>
    <row r="35" spans="6:11">
      <c r="F35">
        <f t="shared" si="5"/>
        <v>33</v>
      </c>
      <c r="G35" s="16">
        <f t="shared" si="0"/>
        <v>95794.951211787629</v>
      </c>
      <c r="H35" s="16">
        <f t="shared" si="1"/>
        <v>719.58869140498882</v>
      </c>
      <c r="I35" s="16">
        <f t="shared" si="2"/>
        <v>574.76970727072592</v>
      </c>
      <c r="J35" s="16">
        <f t="shared" si="3"/>
        <v>144.81898413426291</v>
      </c>
      <c r="K35" s="16">
        <f t="shared" si="4"/>
        <v>95650.132227653361</v>
      </c>
    </row>
    <row r="36" spans="6:11">
      <c r="F36">
        <f t="shared" si="5"/>
        <v>34</v>
      </c>
      <c r="G36" s="16">
        <f t="shared" si="0"/>
        <v>95650.132227653361</v>
      </c>
      <c r="H36" s="16">
        <f t="shared" si="1"/>
        <v>719.58869140498882</v>
      </c>
      <c r="I36" s="16">
        <f t="shared" si="2"/>
        <v>573.90079336592021</v>
      </c>
      <c r="J36" s="16">
        <f t="shared" si="3"/>
        <v>145.68789803906861</v>
      </c>
      <c r="K36" s="16">
        <f t="shared" si="4"/>
        <v>95504.444329614285</v>
      </c>
    </row>
    <row r="37" spans="6:11">
      <c r="F37">
        <f t="shared" si="5"/>
        <v>35</v>
      </c>
      <c r="G37" s="16">
        <f t="shared" si="0"/>
        <v>95504.444329614285</v>
      </c>
      <c r="H37" s="16">
        <f t="shared" si="1"/>
        <v>719.58869140498882</v>
      </c>
      <c r="I37" s="16">
        <f t="shared" si="2"/>
        <v>573.02666597768575</v>
      </c>
      <c r="J37" s="16">
        <f t="shared" si="3"/>
        <v>146.56202542730307</v>
      </c>
      <c r="K37" s="16">
        <f t="shared" si="4"/>
        <v>95357.882304186976</v>
      </c>
    </row>
    <row r="38" spans="6:11">
      <c r="F38">
        <f t="shared" si="5"/>
        <v>36</v>
      </c>
      <c r="G38" s="16">
        <f t="shared" si="0"/>
        <v>95357.882304186976</v>
      </c>
      <c r="H38" s="16">
        <f t="shared" si="1"/>
        <v>719.58869140498882</v>
      </c>
      <c r="I38" s="16">
        <f t="shared" si="2"/>
        <v>572.14729382512201</v>
      </c>
      <c r="J38" s="16">
        <f t="shared" si="3"/>
        <v>147.44139757986682</v>
      </c>
      <c r="K38" s="16">
        <f t="shared" si="4"/>
        <v>95210.440906607109</v>
      </c>
    </row>
    <row r="39" spans="6:11">
      <c r="F39">
        <f t="shared" si="5"/>
        <v>37</v>
      </c>
      <c r="G39" s="16">
        <f t="shared" si="0"/>
        <v>95210.440906607109</v>
      </c>
      <c r="H39" s="16">
        <f t="shared" si="1"/>
        <v>719.58869140498882</v>
      </c>
      <c r="I39" s="16">
        <f t="shared" si="2"/>
        <v>571.26264543964271</v>
      </c>
      <c r="J39" s="16">
        <f t="shared" si="3"/>
        <v>148.32604596534611</v>
      </c>
      <c r="K39" s="16">
        <f t="shared" si="4"/>
        <v>95062.11486064177</v>
      </c>
    </row>
    <row r="40" spans="6:11">
      <c r="F40">
        <f t="shared" si="5"/>
        <v>38</v>
      </c>
      <c r="G40" s="16">
        <f t="shared" si="0"/>
        <v>95062.11486064177</v>
      </c>
      <c r="H40" s="16">
        <f t="shared" si="1"/>
        <v>719.58869140498882</v>
      </c>
      <c r="I40" s="16">
        <f t="shared" si="2"/>
        <v>570.37268916385074</v>
      </c>
      <c r="J40" s="16">
        <f t="shared" si="3"/>
        <v>149.21600224113809</v>
      </c>
      <c r="K40" s="16">
        <f t="shared" si="4"/>
        <v>94912.898858400629</v>
      </c>
    </row>
    <row r="41" spans="6:11">
      <c r="F41">
        <f t="shared" si="5"/>
        <v>39</v>
      </c>
      <c r="G41" s="16">
        <f t="shared" si="0"/>
        <v>94912.898858400629</v>
      </c>
      <c r="H41" s="16">
        <f t="shared" si="1"/>
        <v>719.58869140498882</v>
      </c>
      <c r="I41" s="16">
        <f t="shared" si="2"/>
        <v>569.47739315040383</v>
      </c>
      <c r="J41" s="16">
        <f t="shared" si="3"/>
        <v>150.11129825458499</v>
      </c>
      <c r="K41" s="16">
        <f t="shared" si="4"/>
        <v>94762.78756014604</v>
      </c>
    </row>
    <row r="42" spans="6:11">
      <c r="F42">
        <f t="shared" si="5"/>
        <v>40</v>
      </c>
      <c r="G42" s="16">
        <f t="shared" si="0"/>
        <v>94762.78756014604</v>
      </c>
      <c r="H42" s="16">
        <f t="shared" si="1"/>
        <v>719.58869140498882</v>
      </c>
      <c r="I42" s="16">
        <f t="shared" si="2"/>
        <v>568.57672536087637</v>
      </c>
      <c r="J42" s="16">
        <f t="shared" si="3"/>
        <v>151.01196604411246</v>
      </c>
      <c r="K42" s="16">
        <f t="shared" si="4"/>
        <v>94611.775594101928</v>
      </c>
    </row>
    <row r="43" spans="6:11">
      <c r="F43">
        <f t="shared" si="5"/>
        <v>41</v>
      </c>
      <c r="G43" s="16">
        <f t="shared" si="0"/>
        <v>94611.775594101928</v>
      </c>
      <c r="H43" s="16">
        <f t="shared" si="1"/>
        <v>719.58869140498882</v>
      </c>
      <c r="I43" s="16">
        <f t="shared" si="2"/>
        <v>567.67065356461171</v>
      </c>
      <c r="J43" s="16">
        <f t="shared" si="3"/>
        <v>151.91803784037711</v>
      </c>
      <c r="K43" s="16">
        <f t="shared" si="4"/>
        <v>94459.857556261544</v>
      </c>
    </row>
    <row r="44" spans="6:11">
      <c r="F44">
        <f t="shared" si="5"/>
        <v>42</v>
      </c>
      <c r="G44" s="16">
        <f t="shared" si="0"/>
        <v>94459.857556261544</v>
      </c>
      <c r="H44" s="16">
        <f t="shared" si="1"/>
        <v>719.58869140498882</v>
      </c>
      <c r="I44" s="16">
        <f t="shared" si="2"/>
        <v>566.75914533756941</v>
      </c>
      <c r="J44" s="16">
        <f t="shared" si="3"/>
        <v>152.82954606741941</v>
      </c>
      <c r="K44" s="16">
        <f t="shared" si="4"/>
        <v>94307.028010194132</v>
      </c>
    </row>
    <row r="45" spans="6:11">
      <c r="F45">
        <f t="shared" si="5"/>
        <v>43</v>
      </c>
      <c r="G45" s="16">
        <f t="shared" si="0"/>
        <v>94307.028010194132</v>
      </c>
      <c r="H45" s="16">
        <f t="shared" si="1"/>
        <v>719.58869140498882</v>
      </c>
      <c r="I45" s="16">
        <f t="shared" si="2"/>
        <v>565.8421680611649</v>
      </c>
      <c r="J45" s="16">
        <f t="shared" si="3"/>
        <v>153.74652334382392</v>
      </c>
      <c r="K45" s="16">
        <f t="shared" si="4"/>
        <v>94153.281486850305</v>
      </c>
    </row>
    <row r="46" spans="6:11">
      <c r="F46">
        <f t="shared" si="5"/>
        <v>44</v>
      </c>
      <c r="G46" s="16">
        <f t="shared" si="0"/>
        <v>94153.281486850305</v>
      </c>
      <c r="H46" s="16">
        <f t="shared" si="1"/>
        <v>719.58869140498882</v>
      </c>
      <c r="I46" s="16">
        <f t="shared" si="2"/>
        <v>564.91968892110197</v>
      </c>
      <c r="J46" s="16">
        <f t="shared" si="3"/>
        <v>154.66900248388686</v>
      </c>
      <c r="K46" s="16">
        <f t="shared" si="4"/>
        <v>93998.612484366415</v>
      </c>
    </row>
    <row r="47" spans="6:11">
      <c r="F47">
        <f t="shared" si="5"/>
        <v>45</v>
      </c>
      <c r="G47" s="16">
        <f t="shared" si="0"/>
        <v>93998.612484366415</v>
      </c>
      <c r="H47" s="16">
        <f t="shared" si="1"/>
        <v>719.58869140498882</v>
      </c>
      <c r="I47" s="16">
        <f t="shared" si="2"/>
        <v>563.99167490619857</v>
      </c>
      <c r="J47" s="16">
        <f t="shared" si="3"/>
        <v>155.59701649879025</v>
      </c>
      <c r="K47" s="16">
        <f t="shared" si="4"/>
        <v>93843.015467867619</v>
      </c>
    </row>
    <row r="48" spans="6:11">
      <c r="F48">
        <f t="shared" si="5"/>
        <v>46</v>
      </c>
      <c r="G48" s="16">
        <f t="shared" si="0"/>
        <v>93843.015467867619</v>
      </c>
      <c r="H48" s="16">
        <f t="shared" si="1"/>
        <v>719.58869140498882</v>
      </c>
      <c r="I48" s="16">
        <f t="shared" si="2"/>
        <v>563.05809280720575</v>
      </c>
      <c r="J48" s="16">
        <f t="shared" si="3"/>
        <v>156.53059859778307</v>
      </c>
      <c r="K48" s="16">
        <f t="shared" si="4"/>
        <v>93686.484869269829</v>
      </c>
    </row>
    <row r="49" spans="6:11">
      <c r="F49">
        <f t="shared" si="5"/>
        <v>47</v>
      </c>
      <c r="G49" s="16">
        <f t="shared" si="0"/>
        <v>93686.484869269829</v>
      </c>
      <c r="H49" s="16">
        <f t="shared" si="1"/>
        <v>719.58869140498882</v>
      </c>
      <c r="I49" s="16">
        <f t="shared" si="2"/>
        <v>562.11890921561906</v>
      </c>
      <c r="J49" s="16">
        <f t="shared" si="3"/>
        <v>157.46978218936977</v>
      </c>
      <c r="K49" s="16">
        <f t="shared" si="4"/>
        <v>93529.015087080465</v>
      </c>
    </row>
    <row r="50" spans="6:11">
      <c r="F50">
        <f t="shared" si="5"/>
        <v>48</v>
      </c>
      <c r="G50" s="16">
        <f t="shared" si="0"/>
        <v>93529.015087080465</v>
      </c>
      <c r="H50" s="16">
        <f t="shared" si="1"/>
        <v>719.58869140498882</v>
      </c>
      <c r="I50" s="16">
        <f t="shared" si="2"/>
        <v>561.17409052248286</v>
      </c>
      <c r="J50" s="16">
        <f t="shared" si="3"/>
        <v>158.41460088250597</v>
      </c>
      <c r="K50" s="16">
        <f t="shared" si="4"/>
        <v>93370.60048619796</v>
      </c>
    </row>
    <row r="51" spans="6:11">
      <c r="F51">
        <f t="shared" si="5"/>
        <v>49</v>
      </c>
      <c r="G51" s="16">
        <f t="shared" si="0"/>
        <v>93370.60048619796</v>
      </c>
      <c r="H51" s="16">
        <f t="shared" si="1"/>
        <v>719.58869140498882</v>
      </c>
      <c r="I51" s="16">
        <f t="shared" si="2"/>
        <v>560.2236029171878</v>
      </c>
      <c r="J51" s="16">
        <f t="shared" si="3"/>
        <v>159.36508848780102</v>
      </c>
      <c r="K51" s="16">
        <f t="shared" si="4"/>
        <v>93211.235397710159</v>
      </c>
    </row>
    <row r="52" spans="6:11">
      <c r="F52">
        <f t="shared" si="5"/>
        <v>50</v>
      </c>
      <c r="G52" s="16">
        <f t="shared" si="0"/>
        <v>93211.235397710159</v>
      </c>
      <c r="H52" s="16">
        <f t="shared" si="1"/>
        <v>719.58869140498882</v>
      </c>
      <c r="I52" s="16">
        <f t="shared" si="2"/>
        <v>559.26741238626107</v>
      </c>
      <c r="J52" s="16">
        <f t="shared" si="3"/>
        <v>160.32127901872775</v>
      </c>
      <c r="K52" s="16">
        <f t="shared" si="4"/>
        <v>93050.914118691435</v>
      </c>
    </row>
    <row r="53" spans="6:11">
      <c r="F53">
        <f t="shared" si="5"/>
        <v>51</v>
      </c>
      <c r="G53" s="16">
        <f t="shared" si="0"/>
        <v>93050.914118691435</v>
      </c>
      <c r="H53" s="16">
        <f t="shared" si="1"/>
        <v>719.58869140498882</v>
      </c>
      <c r="I53" s="16">
        <f t="shared" si="2"/>
        <v>558.30548471214865</v>
      </c>
      <c r="J53" s="16">
        <f t="shared" si="3"/>
        <v>161.28320669284017</v>
      </c>
      <c r="K53" s="16">
        <f t="shared" si="4"/>
        <v>92889.630911998596</v>
      </c>
    </row>
    <row r="54" spans="6:11">
      <c r="F54">
        <f t="shared" si="5"/>
        <v>52</v>
      </c>
      <c r="G54" s="16">
        <f t="shared" si="0"/>
        <v>92889.630911998596</v>
      </c>
      <c r="H54" s="16">
        <f t="shared" si="1"/>
        <v>719.58869140498882</v>
      </c>
      <c r="I54" s="16">
        <f t="shared" si="2"/>
        <v>557.33778547199165</v>
      </c>
      <c r="J54" s="16">
        <f t="shared" si="3"/>
        <v>162.25090593299717</v>
      </c>
      <c r="K54" s="16">
        <f t="shared" si="4"/>
        <v>92727.380006065592</v>
      </c>
    </row>
    <row r="55" spans="6:11">
      <c r="F55">
        <f t="shared" si="5"/>
        <v>53</v>
      </c>
      <c r="G55" s="16">
        <f t="shared" si="0"/>
        <v>92727.380006065592</v>
      </c>
      <c r="H55" s="16">
        <f t="shared" si="1"/>
        <v>719.58869140498882</v>
      </c>
      <c r="I55" s="16">
        <f t="shared" si="2"/>
        <v>556.36428003639367</v>
      </c>
      <c r="J55" s="16">
        <f t="shared" si="3"/>
        <v>163.22441136859516</v>
      </c>
      <c r="K55" s="16">
        <f t="shared" si="4"/>
        <v>92564.155594697004</v>
      </c>
    </row>
    <row r="56" spans="6:11">
      <c r="F56">
        <f t="shared" si="5"/>
        <v>54</v>
      </c>
      <c r="G56" s="16">
        <f t="shared" si="0"/>
        <v>92564.155594697004</v>
      </c>
      <c r="H56" s="16">
        <f t="shared" si="1"/>
        <v>719.58869140498882</v>
      </c>
      <c r="I56" s="16">
        <f t="shared" si="2"/>
        <v>555.38493356818208</v>
      </c>
      <c r="J56" s="16">
        <f t="shared" si="3"/>
        <v>164.20375783680674</v>
      </c>
      <c r="K56" s="16">
        <f t="shared" si="4"/>
        <v>92399.9518368602</v>
      </c>
    </row>
    <row r="57" spans="6:11">
      <c r="F57">
        <f t="shared" si="5"/>
        <v>55</v>
      </c>
      <c r="G57" s="16">
        <f t="shared" si="0"/>
        <v>92399.9518368602</v>
      </c>
      <c r="H57" s="16">
        <f t="shared" si="1"/>
        <v>719.58869140498882</v>
      </c>
      <c r="I57" s="16">
        <f t="shared" si="2"/>
        <v>554.39971102116124</v>
      </c>
      <c r="J57" s="16">
        <f t="shared" si="3"/>
        <v>165.18898038382758</v>
      </c>
      <c r="K57" s="16">
        <f t="shared" si="4"/>
        <v>92234.762856476373</v>
      </c>
    </row>
    <row r="58" spans="6:11">
      <c r="F58">
        <f t="shared" si="5"/>
        <v>56</v>
      </c>
      <c r="G58" s="16">
        <f t="shared" si="0"/>
        <v>92234.762856476373</v>
      </c>
      <c r="H58" s="16">
        <f t="shared" si="1"/>
        <v>719.58869140498882</v>
      </c>
      <c r="I58" s="16">
        <f t="shared" si="2"/>
        <v>553.40857713885828</v>
      </c>
      <c r="J58" s="16">
        <f t="shared" si="3"/>
        <v>166.18011426613054</v>
      </c>
      <c r="K58" s="16">
        <f t="shared" si="4"/>
        <v>92068.582742210245</v>
      </c>
    </row>
    <row r="59" spans="6:11">
      <c r="F59">
        <f t="shared" si="5"/>
        <v>57</v>
      </c>
      <c r="G59" s="16">
        <f t="shared" si="0"/>
        <v>92068.582742210245</v>
      </c>
      <c r="H59" s="16">
        <f t="shared" si="1"/>
        <v>719.58869140498882</v>
      </c>
      <c r="I59" s="16">
        <f t="shared" si="2"/>
        <v>552.41149645326152</v>
      </c>
      <c r="J59" s="16">
        <f t="shared" si="3"/>
        <v>167.1771949517273</v>
      </c>
      <c r="K59" s="16">
        <f t="shared" si="4"/>
        <v>91901.405547258517</v>
      </c>
    </row>
    <row r="60" spans="6:11">
      <c r="F60">
        <f t="shared" si="5"/>
        <v>58</v>
      </c>
      <c r="G60" s="16">
        <f t="shared" si="0"/>
        <v>91901.405547258517</v>
      </c>
      <c r="H60" s="16">
        <f t="shared" si="1"/>
        <v>719.58869140498882</v>
      </c>
      <c r="I60" s="16">
        <f t="shared" si="2"/>
        <v>551.40843328355118</v>
      </c>
      <c r="J60" s="16">
        <f t="shared" si="3"/>
        <v>168.18025812143765</v>
      </c>
      <c r="K60" s="16">
        <f t="shared" si="4"/>
        <v>91733.225289137074</v>
      </c>
    </row>
    <row r="61" spans="6:11">
      <c r="F61">
        <f t="shared" si="5"/>
        <v>59</v>
      </c>
      <c r="G61" s="16">
        <f t="shared" si="0"/>
        <v>91733.225289137074</v>
      </c>
      <c r="H61" s="16">
        <f t="shared" si="1"/>
        <v>719.58869140498882</v>
      </c>
      <c r="I61" s="16">
        <f t="shared" si="2"/>
        <v>550.39935173482252</v>
      </c>
      <c r="J61" s="16">
        <f t="shared" si="3"/>
        <v>169.18933967016631</v>
      </c>
      <c r="K61" s="16">
        <f t="shared" si="4"/>
        <v>91564.03594946691</v>
      </c>
    </row>
    <row r="62" spans="6:11">
      <c r="F62" s="20">
        <f t="shared" si="5"/>
        <v>60</v>
      </c>
      <c r="G62" s="21">
        <f t="shared" si="0"/>
        <v>91564.03594946691</v>
      </c>
      <c r="H62" s="21">
        <f t="shared" si="1"/>
        <v>719.58869140498882</v>
      </c>
      <c r="I62" s="21">
        <f t="shared" si="2"/>
        <v>549.38421569680156</v>
      </c>
      <c r="J62" s="21">
        <f t="shared" si="3"/>
        <v>170.20447570818726</v>
      </c>
      <c r="K62" s="21">
        <f t="shared" si="4"/>
        <v>91393.831473758721</v>
      </c>
    </row>
    <row r="63" spans="6:11">
      <c r="F63">
        <f t="shared" si="5"/>
        <v>61</v>
      </c>
      <c r="G63" s="16">
        <f t="shared" si="0"/>
        <v>91393.831473758721</v>
      </c>
      <c r="H63" s="16">
        <f>$C$15</f>
        <v>822.29402381537159</v>
      </c>
      <c r="I63" s="16">
        <f>G63*$C$13</f>
        <v>685.45373605319037</v>
      </c>
      <c r="J63" s="16">
        <f>H63-I63</f>
        <v>136.84028776218122</v>
      </c>
      <c r="K63" s="16">
        <f>G63-J63</f>
        <v>91256.991185996536</v>
      </c>
    </row>
    <row r="64" spans="6:11">
      <c r="F64">
        <f t="shared" si="5"/>
        <v>62</v>
      </c>
      <c r="G64" s="16">
        <f t="shared" si="0"/>
        <v>91256.991185996536</v>
      </c>
      <c r="H64" s="16">
        <f t="shared" ref="H64:H127" si="6">$C$15</f>
        <v>822.29402381537159</v>
      </c>
      <c r="I64" s="16">
        <f t="shared" ref="I64:I127" si="7">G64*$C$13</f>
        <v>684.427433894974</v>
      </c>
      <c r="J64" s="16">
        <f t="shared" si="3"/>
        <v>137.86658992039759</v>
      </c>
      <c r="K64" s="16">
        <f t="shared" si="4"/>
        <v>91119.124596076144</v>
      </c>
    </row>
    <row r="65" spans="6:11">
      <c r="F65">
        <f t="shared" si="5"/>
        <v>63</v>
      </c>
      <c r="G65" s="16">
        <f t="shared" si="0"/>
        <v>91119.124596076144</v>
      </c>
      <c r="H65" s="16">
        <f t="shared" si="6"/>
        <v>822.29402381537159</v>
      </c>
      <c r="I65" s="16">
        <f t="shared" si="7"/>
        <v>683.39343447057104</v>
      </c>
      <c r="J65" s="16">
        <f t="shared" si="3"/>
        <v>138.90058934480055</v>
      </c>
      <c r="K65" s="16">
        <f t="shared" si="4"/>
        <v>90980.22400673134</v>
      </c>
    </row>
    <row r="66" spans="6:11">
      <c r="F66">
        <f t="shared" si="5"/>
        <v>64</v>
      </c>
      <c r="G66" s="16">
        <f t="shared" si="0"/>
        <v>90980.22400673134</v>
      </c>
      <c r="H66" s="16">
        <f t="shared" si="6"/>
        <v>822.29402381537159</v>
      </c>
      <c r="I66" s="16">
        <f t="shared" si="7"/>
        <v>682.35168005048502</v>
      </c>
      <c r="J66" s="16">
        <f t="shared" si="3"/>
        <v>139.94234376488657</v>
      </c>
      <c r="K66" s="16">
        <f t="shared" si="4"/>
        <v>90840.281662966459</v>
      </c>
    </row>
    <row r="67" spans="6:11">
      <c r="F67">
        <f t="shared" si="5"/>
        <v>65</v>
      </c>
      <c r="G67" s="16">
        <f t="shared" si="0"/>
        <v>90840.281662966459</v>
      </c>
      <c r="H67" s="16">
        <f t="shared" si="6"/>
        <v>822.29402381537159</v>
      </c>
      <c r="I67" s="16">
        <f t="shared" si="7"/>
        <v>681.30211247224838</v>
      </c>
      <c r="J67" s="16">
        <f t="shared" si="3"/>
        <v>140.99191134312321</v>
      </c>
      <c r="K67" s="16">
        <f t="shared" si="4"/>
        <v>90699.289751623335</v>
      </c>
    </row>
    <row r="68" spans="6:11">
      <c r="F68">
        <f t="shared" si="5"/>
        <v>66</v>
      </c>
      <c r="G68" s="16">
        <f t="shared" ref="G68:G131" si="8">K67</f>
        <v>90699.289751623335</v>
      </c>
      <c r="H68" s="16">
        <f t="shared" si="6"/>
        <v>822.29402381537159</v>
      </c>
      <c r="I68" s="16">
        <f t="shared" si="7"/>
        <v>680.24467313717503</v>
      </c>
      <c r="J68" s="16">
        <f t="shared" ref="J68:J131" si="9">H68-I68</f>
        <v>142.04935067819656</v>
      </c>
      <c r="K68" s="16">
        <f t="shared" ref="K68:K131" si="10">G68-J68</f>
        <v>90557.240400945142</v>
      </c>
    </row>
    <row r="69" spans="6:11">
      <c r="F69">
        <f t="shared" ref="F69:F132" si="11">1+F68</f>
        <v>67</v>
      </c>
      <c r="G69" s="16">
        <f t="shared" si="8"/>
        <v>90557.240400945142</v>
      </c>
      <c r="H69" s="16">
        <f t="shared" si="6"/>
        <v>822.29402381537159</v>
      </c>
      <c r="I69" s="16">
        <f t="shared" si="7"/>
        <v>679.17930300708849</v>
      </c>
      <c r="J69" s="16">
        <f t="shared" si="9"/>
        <v>143.1147208082831</v>
      </c>
      <c r="K69" s="16">
        <f t="shared" si="10"/>
        <v>90414.125680136858</v>
      </c>
    </row>
    <row r="70" spans="6:11">
      <c r="F70">
        <f t="shared" si="11"/>
        <v>68</v>
      </c>
      <c r="G70" s="16">
        <f t="shared" si="8"/>
        <v>90414.125680136858</v>
      </c>
      <c r="H70" s="16">
        <f t="shared" si="6"/>
        <v>822.29402381537159</v>
      </c>
      <c r="I70" s="16">
        <f t="shared" si="7"/>
        <v>678.10594260102641</v>
      </c>
      <c r="J70" s="16">
        <f t="shared" si="9"/>
        <v>144.18808121434517</v>
      </c>
      <c r="K70" s="16">
        <f t="shared" si="10"/>
        <v>90269.937598922508</v>
      </c>
    </row>
    <row r="71" spans="6:11">
      <c r="F71">
        <f t="shared" si="11"/>
        <v>69</v>
      </c>
      <c r="G71" s="16">
        <f t="shared" si="8"/>
        <v>90269.937598922508</v>
      </c>
      <c r="H71" s="16">
        <f t="shared" si="6"/>
        <v>822.29402381537159</v>
      </c>
      <c r="I71" s="16">
        <f t="shared" si="7"/>
        <v>677.02453199191882</v>
      </c>
      <c r="J71" s="16">
        <f t="shared" si="9"/>
        <v>145.26949182345277</v>
      </c>
      <c r="K71" s="16">
        <f t="shared" si="10"/>
        <v>90124.66810709906</v>
      </c>
    </row>
    <row r="72" spans="6:11">
      <c r="F72">
        <f t="shared" si="11"/>
        <v>70</v>
      </c>
      <c r="G72" s="16">
        <f t="shared" si="8"/>
        <v>90124.66810709906</v>
      </c>
      <c r="H72" s="16">
        <f t="shared" si="6"/>
        <v>822.29402381537159</v>
      </c>
      <c r="I72" s="16">
        <f t="shared" si="7"/>
        <v>675.9350108032429</v>
      </c>
      <c r="J72" s="16">
        <f t="shared" si="9"/>
        <v>146.35901301212868</v>
      </c>
      <c r="K72" s="16">
        <f t="shared" si="10"/>
        <v>89978.30909408693</v>
      </c>
    </row>
    <row r="73" spans="6:11">
      <c r="F73">
        <f t="shared" si="11"/>
        <v>71</v>
      </c>
      <c r="G73" s="16">
        <f t="shared" si="8"/>
        <v>89978.30909408693</v>
      </c>
      <c r="H73" s="16">
        <f t="shared" si="6"/>
        <v>822.29402381537159</v>
      </c>
      <c r="I73" s="16">
        <f t="shared" si="7"/>
        <v>674.83731820565197</v>
      </c>
      <c r="J73" s="16">
        <f t="shared" si="9"/>
        <v>147.45670560971962</v>
      </c>
      <c r="K73" s="16">
        <f t="shared" si="10"/>
        <v>89830.852388477215</v>
      </c>
    </row>
    <row r="74" spans="6:11">
      <c r="F74">
        <f t="shared" si="11"/>
        <v>72</v>
      </c>
      <c r="G74" s="16">
        <f t="shared" si="8"/>
        <v>89830.852388477215</v>
      </c>
      <c r="H74" s="16">
        <f t="shared" si="6"/>
        <v>822.29402381537159</v>
      </c>
      <c r="I74" s="16">
        <f t="shared" si="7"/>
        <v>673.73139291357904</v>
      </c>
      <c r="J74" s="16">
        <f t="shared" si="9"/>
        <v>148.56263090179255</v>
      </c>
      <c r="K74" s="16">
        <f t="shared" si="10"/>
        <v>89682.289757575418</v>
      </c>
    </row>
    <row r="75" spans="6:11">
      <c r="F75">
        <f t="shared" si="11"/>
        <v>73</v>
      </c>
      <c r="G75" s="16">
        <f t="shared" si="8"/>
        <v>89682.289757575418</v>
      </c>
      <c r="H75" s="16">
        <f t="shared" si="6"/>
        <v>822.29402381537159</v>
      </c>
      <c r="I75" s="16">
        <f t="shared" si="7"/>
        <v>672.61717318181559</v>
      </c>
      <c r="J75" s="16">
        <f t="shared" si="9"/>
        <v>149.676850633556</v>
      </c>
      <c r="K75" s="16">
        <f t="shared" si="10"/>
        <v>89532.612906941868</v>
      </c>
    </row>
    <row r="76" spans="6:11">
      <c r="F76">
        <f t="shared" si="11"/>
        <v>74</v>
      </c>
      <c r="G76" s="16">
        <f t="shared" si="8"/>
        <v>89532.612906941868</v>
      </c>
      <c r="H76" s="16">
        <f t="shared" si="6"/>
        <v>822.29402381537159</v>
      </c>
      <c r="I76" s="16">
        <f t="shared" si="7"/>
        <v>671.49459680206394</v>
      </c>
      <c r="J76" s="16">
        <f t="shared" si="9"/>
        <v>150.79942701330765</v>
      </c>
      <c r="K76" s="16">
        <f t="shared" si="10"/>
        <v>89381.813479928562</v>
      </c>
    </row>
    <row r="77" spans="6:11">
      <c r="F77">
        <f t="shared" si="11"/>
        <v>75</v>
      </c>
      <c r="G77" s="16">
        <f t="shared" si="8"/>
        <v>89381.813479928562</v>
      </c>
      <c r="H77" s="16">
        <f t="shared" si="6"/>
        <v>822.29402381537159</v>
      </c>
      <c r="I77" s="16">
        <f t="shared" si="7"/>
        <v>670.36360109946418</v>
      </c>
      <c r="J77" s="16">
        <f t="shared" si="9"/>
        <v>151.93042271590741</v>
      </c>
      <c r="K77" s="16">
        <f t="shared" si="10"/>
        <v>89229.883057212661</v>
      </c>
    </row>
    <row r="78" spans="6:11">
      <c r="F78">
        <f t="shared" si="11"/>
        <v>76</v>
      </c>
      <c r="G78" s="16">
        <f t="shared" si="8"/>
        <v>89229.883057212661</v>
      </c>
      <c r="H78" s="16">
        <f t="shared" si="6"/>
        <v>822.29402381537159</v>
      </c>
      <c r="I78" s="16">
        <f t="shared" si="7"/>
        <v>669.22412292909496</v>
      </c>
      <c r="J78" s="16">
        <f t="shared" si="9"/>
        <v>153.06990088627663</v>
      </c>
      <c r="K78" s="16">
        <f t="shared" si="10"/>
        <v>89076.813156326389</v>
      </c>
    </row>
    <row r="79" spans="6:11">
      <c r="F79">
        <f t="shared" si="11"/>
        <v>77</v>
      </c>
      <c r="G79" s="16">
        <f t="shared" si="8"/>
        <v>89076.813156326389</v>
      </c>
      <c r="H79" s="16">
        <f t="shared" si="6"/>
        <v>822.29402381537159</v>
      </c>
      <c r="I79" s="16">
        <f t="shared" si="7"/>
        <v>668.07609867244787</v>
      </c>
      <c r="J79" s="16">
        <f t="shared" si="9"/>
        <v>154.21792514292372</v>
      </c>
      <c r="K79" s="16">
        <f t="shared" si="10"/>
        <v>88922.59523118347</v>
      </c>
    </row>
    <row r="80" spans="6:11">
      <c r="F80">
        <f t="shared" si="11"/>
        <v>78</v>
      </c>
      <c r="G80" s="16">
        <f t="shared" si="8"/>
        <v>88922.59523118347</v>
      </c>
      <c r="H80" s="16">
        <f t="shared" si="6"/>
        <v>822.29402381537159</v>
      </c>
      <c r="I80" s="16">
        <f t="shared" si="7"/>
        <v>666.91946423387606</v>
      </c>
      <c r="J80" s="16">
        <f t="shared" si="9"/>
        <v>155.37455958149553</v>
      </c>
      <c r="K80" s="16">
        <f t="shared" si="10"/>
        <v>88767.220671601972</v>
      </c>
    </row>
    <row r="81" spans="6:11">
      <c r="F81">
        <f t="shared" si="11"/>
        <v>79</v>
      </c>
      <c r="G81" s="16">
        <f t="shared" si="8"/>
        <v>88767.220671601972</v>
      </c>
      <c r="H81" s="16">
        <f t="shared" si="6"/>
        <v>822.29402381537159</v>
      </c>
      <c r="I81" s="16">
        <f t="shared" si="7"/>
        <v>665.75415503701481</v>
      </c>
      <c r="J81" s="16">
        <f t="shared" si="9"/>
        <v>156.53986877835678</v>
      </c>
      <c r="K81" s="16">
        <f t="shared" si="10"/>
        <v>88610.680802823612</v>
      </c>
    </row>
    <row r="82" spans="6:11">
      <c r="F82">
        <f t="shared" si="11"/>
        <v>80</v>
      </c>
      <c r="G82" s="16">
        <f t="shared" si="8"/>
        <v>88610.680802823612</v>
      </c>
      <c r="H82" s="16">
        <f t="shared" si="6"/>
        <v>822.29402381537159</v>
      </c>
      <c r="I82" s="16">
        <f t="shared" si="7"/>
        <v>664.58010602117702</v>
      </c>
      <c r="J82" s="16">
        <f t="shared" si="9"/>
        <v>157.71391779419457</v>
      </c>
      <c r="K82" s="16">
        <f t="shared" si="10"/>
        <v>88452.966885029411</v>
      </c>
    </row>
    <row r="83" spans="6:11">
      <c r="F83">
        <f t="shared" si="11"/>
        <v>81</v>
      </c>
      <c r="G83" s="16">
        <f t="shared" si="8"/>
        <v>88452.966885029411</v>
      </c>
      <c r="H83" s="16">
        <f t="shared" si="6"/>
        <v>822.29402381537159</v>
      </c>
      <c r="I83" s="16">
        <f t="shared" si="7"/>
        <v>663.39725163772061</v>
      </c>
      <c r="J83" s="16">
        <f t="shared" si="9"/>
        <v>158.89677217765097</v>
      </c>
      <c r="K83" s="16">
        <f t="shared" si="10"/>
        <v>88294.070112851754</v>
      </c>
    </row>
    <row r="84" spans="6:11">
      <c r="F84">
        <f t="shared" si="11"/>
        <v>82</v>
      </c>
      <c r="G84" s="16">
        <f t="shared" si="8"/>
        <v>88294.070112851754</v>
      </c>
      <c r="H84" s="16">
        <f t="shared" si="6"/>
        <v>822.29402381537159</v>
      </c>
      <c r="I84" s="16">
        <f t="shared" si="7"/>
        <v>662.20552584638813</v>
      </c>
      <c r="J84" s="16">
        <f t="shared" si="9"/>
        <v>160.08849796898346</v>
      </c>
      <c r="K84" s="16">
        <f t="shared" si="10"/>
        <v>88133.981614882767</v>
      </c>
    </row>
    <row r="85" spans="6:11">
      <c r="F85">
        <f t="shared" si="11"/>
        <v>83</v>
      </c>
      <c r="G85" s="16">
        <f t="shared" si="8"/>
        <v>88133.981614882767</v>
      </c>
      <c r="H85" s="16">
        <f t="shared" si="6"/>
        <v>822.29402381537159</v>
      </c>
      <c r="I85" s="16">
        <f t="shared" si="7"/>
        <v>661.0048621116207</v>
      </c>
      <c r="J85" s="16">
        <f t="shared" si="9"/>
        <v>161.28916170375089</v>
      </c>
      <c r="K85" s="16">
        <f t="shared" si="10"/>
        <v>87972.692453179014</v>
      </c>
    </row>
    <row r="86" spans="6:11">
      <c r="F86">
        <f t="shared" si="11"/>
        <v>84</v>
      </c>
      <c r="G86" s="16">
        <f t="shared" si="8"/>
        <v>87972.692453179014</v>
      </c>
      <c r="H86" s="16">
        <f t="shared" si="6"/>
        <v>822.29402381537159</v>
      </c>
      <c r="I86" s="16">
        <f t="shared" si="7"/>
        <v>659.79519339884257</v>
      </c>
      <c r="J86" s="16">
        <f t="shared" si="9"/>
        <v>162.49883041652902</v>
      </c>
      <c r="K86" s="16">
        <f t="shared" si="10"/>
        <v>87810.193622762483</v>
      </c>
    </row>
    <row r="87" spans="6:11">
      <c r="F87">
        <f t="shared" si="11"/>
        <v>85</v>
      </c>
      <c r="G87" s="16">
        <f t="shared" si="8"/>
        <v>87810.193622762483</v>
      </c>
      <c r="H87" s="16">
        <f t="shared" si="6"/>
        <v>822.29402381537159</v>
      </c>
      <c r="I87" s="16">
        <f t="shared" si="7"/>
        <v>658.57645217071865</v>
      </c>
      <c r="J87" s="16">
        <f t="shared" si="9"/>
        <v>163.71757164465293</v>
      </c>
      <c r="K87" s="16">
        <f t="shared" si="10"/>
        <v>87646.476051117832</v>
      </c>
    </row>
    <row r="88" spans="6:11">
      <c r="F88">
        <f t="shared" si="11"/>
        <v>86</v>
      </c>
      <c r="G88" s="16">
        <f t="shared" si="8"/>
        <v>87646.476051117832</v>
      </c>
      <c r="H88" s="16">
        <f t="shared" si="6"/>
        <v>822.29402381537159</v>
      </c>
      <c r="I88" s="16">
        <f t="shared" si="7"/>
        <v>657.34857038338373</v>
      </c>
      <c r="J88" s="16">
        <f t="shared" si="9"/>
        <v>164.94545343198786</v>
      </c>
      <c r="K88" s="16">
        <f t="shared" si="10"/>
        <v>87481.530597685851</v>
      </c>
    </row>
    <row r="89" spans="6:11">
      <c r="F89">
        <f t="shared" si="11"/>
        <v>87</v>
      </c>
      <c r="G89" s="16">
        <f t="shared" si="8"/>
        <v>87481.530597685851</v>
      </c>
      <c r="H89" s="16">
        <f t="shared" si="6"/>
        <v>822.29402381537159</v>
      </c>
      <c r="I89" s="16">
        <f t="shared" si="7"/>
        <v>656.11147948264386</v>
      </c>
      <c r="J89" s="16">
        <f t="shared" si="9"/>
        <v>166.18254433272773</v>
      </c>
      <c r="K89" s="16">
        <f t="shared" si="10"/>
        <v>87315.348053353126</v>
      </c>
    </row>
    <row r="90" spans="6:11">
      <c r="F90">
        <f t="shared" si="11"/>
        <v>88</v>
      </c>
      <c r="G90" s="16">
        <f t="shared" si="8"/>
        <v>87315.348053353126</v>
      </c>
      <c r="H90" s="16">
        <f t="shared" si="6"/>
        <v>822.29402381537159</v>
      </c>
      <c r="I90" s="16">
        <f t="shared" si="7"/>
        <v>654.86511040014841</v>
      </c>
      <c r="J90" s="16">
        <f t="shared" si="9"/>
        <v>167.42891341522318</v>
      </c>
      <c r="K90" s="16">
        <f t="shared" si="10"/>
        <v>87147.919139937905</v>
      </c>
    </row>
    <row r="91" spans="6:11">
      <c r="F91">
        <f t="shared" si="11"/>
        <v>89</v>
      </c>
      <c r="G91" s="16">
        <f t="shared" si="8"/>
        <v>87147.919139937905</v>
      </c>
      <c r="H91" s="16">
        <f t="shared" si="6"/>
        <v>822.29402381537159</v>
      </c>
      <c r="I91" s="16">
        <f t="shared" si="7"/>
        <v>653.60939354953427</v>
      </c>
      <c r="J91" s="16">
        <f t="shared" si="9"/>
        <v>168.68463026583731</v>
      </c>
      <c r="K91" s="16">
        <f t="shared" si="10"/>
        <v>86979.234509672067</v>
      </c>
    </row>
    <row r="92" spans="6:11">
      <c r="F92">
        <f t="shared" si="11"/>
        <v>90</v>
      </c>
      <c r="G92" s="16">
        <f t="shared" si="8"/>
        <v>86979.234509672067</v>
      </c>
      <c r="H92" s="16">
        <f t="shared" si="6"/>
        <v>822.29402381537159</v>
      </c>
      <c r="I92" s="16">
        <f t="shared" si="7"/>
        <v>652.3442588225405</v>
      </c>
      <c r="J92" s="16">
        <f t="shared" si="9"/>
        <v>169.94976499283109</v>
      </c>
      <c r="K92" s="16">
        <f t="shared" si="10"/>
        <v>86809.284744679229</v>
      </c>
    </row>
    <row r="93" spans="6:11">
      <c r="F93">
        <f t="shared" si="11"/>
        <v>91</v>
      </c>
      <c r="G93" s="16">
        <f t="shared" si="8"/>
        <v>86809.284744679229</v>
      </c>
      <c r="H93" s="16">
        <f t="shared" si="6"/>
        <v>822.29402381537159</v>
      </c>
      <c r="I93" s="16">
        <f t="shared" si="7"/>
        <v>651.06963558509415</v>
      </c>
      <c r="J93" s="16">
        <f t="shared" si="9"/>
        <v>171.22438823027744</v>
      </c>
      <c r="K93" s="16">
        <f t="shared" si="10"/>
        <v>86638.060356448957</v>
      </c>
    </row>
    <row r="94" spans="6:11">
      <c r="F94">
        <f t="shared" si="11"/>
        <v>92</v>
      </c>
      <c r="G94" s="16">
        <f t="shared" si="8"/>
        <v>86638.060356448957</v>
      </c>
      <c r="H94" s="16">
        <f t="shared" si="6"/>
        <v>822.29402381537159</v>
      </c>
      <c r="I94" s="16">
        <f t="shared" si="7"/>
        <v>649.7854526733671</v>
      </c>
      <c r="J94" s="16">
        <f t="shared" si="9"/>
        <v>172.50857114200448</v>
      </c>
      <c r="K94" s="16">
        <f t="shared" si="10"/>
        <v>86465.551785306947</v>
      </c>
    </row>
    <row r="95" spans="6:11">
      <c r="F95">
        <f t="shared" si="11"/>
        <v>93</v>
      </c>
      <c r="G95" s="16">
        <f t="shared" si="8"/>
        <v>86465.551785306947</v>
      </c>
      <c r="H95" s="16">
        <f t="shared" si="6"/>
        <v>822.29402381537159</v>
      </c>
      <c r="I95" s="16">
        <f t="shared" si="7"/>
        <v>648.49163838980212</v>
      </c>
      <c r="J95" s="16">
        <f t="shared" si="9"/>
        <v>173.80238542556947</v>
      </c>
      <c r="K95" s="16">
        <f t="shared" si="10"/>
        <v>86291.749399881373</v>
      </c>
    </row>
    <row r="96" spans="6:11">
      <c r="F96">
        <f t="shared" si="11"/>
        <v>94</v>
      </c>
      <c r="G96" s="16">
        <f t="shared" si="8"/>
        <v>86291.749399881373</v>
      </c>
      <c r="H96" s="16">
        <f t="shared" si="6"/>
        <v>822.29402381537159</v>
      </c>
      <c r="I96" s="16">
        <f t="shared" si="7"/>
        <v>647.18812049911025</v>
      </c>
      <c r="J96" s="16">
        <f t="shared" si="9"/>
        <v>175.10590331626133</v>
      </c>
      <c r="K96" s="16">
        <f t="shared" si="10"/>
        <v>86116.643496565113</v>
      </c>
    </row>
    <row r="97" spans="6:11">
      <c r="F97">
        <f t="shared" si="11"/>
        <v>95</v>
      </c>
      <c r="G97" s="16">
        <f t="shared" si="8"/>
        <v>86116.643496565113</v>
      </c>
      <c r="H97" s="16">
        <f t="shared" si="6"/>
        <v>822.29402381537159</v>
      </c>
      <c r="I97" s="16">
        <f t="shared" si="7"/>
        <v>645.87482622423829</v>
      </c>
      <c r="J97" s="16">
        <f t="shared" si="9"/>
        <v>176.4191975911333</v>
      </c>
      <c r="K97" s="16">
        <f t="shared" si="10"/>
        <v>85940.224298973975</v>
      </c>
    </row>
    <row r="98" spans="6:11">
      <c r="F98">
        <f t="shared" si="11"/>
        <v>96</v>
      </c>
      <c r="G98" s="16">
        <f t="shared" si="8"/>
        <v>85940.224298973975</v>
      </c>
      <c r="H98" s="16">
        <f t="shared" si="6"/>
        <v>822.29402381537159</v>
      </c>
      <c r="I98" s="16">
        <f t="shared" si="7"/>
        <v>644.55168224230476</v>
      </c>
      <c r="J98" s="16">
        <f t="shared" si="9"/>
        <v>177.74234157306682</v>
      </c>
      <c r="K98" s="16">
        <f t="shared" si="10"/>
        <v>85762.481957400902</v>
      </c>
    </row>
    <row r="99" spans="6:11">
      <c r="F99">
        <f t="shared" si="11"/>
        <v>97</v>
      </c>
      <c r="G99" s="16">
        <f t="shared" si="8"/>
        <v>85762.481957400902</v>
      </c>
      <c r="H99" s="16">
        <f t="shared" si="6"/>
        <v>822.29402381537159</v>
      </c>
      <c r="I99" s="16">
        <f t="shared" si="7"/>
        <v>643.21861468050679</v>
      </c>
      <c r="J99" s="16">
        <f t="shared" si="9"/>
        <v>179.0754091348648</v>
      </c>
      <c r="K99" s="16">
        <f t="shared" si="10"/>
        <v>85583.406548266037</v>
      </c>
    </row>
    <row r="100" spans="6:11">
      <c r="F100">
        <f t="shared" si="11"/>
        <v>98</v>
      </c>
      <c r="G100" s="16">
        <f t="shared" si="8"/>
        <v>85583.406548266037</v>
      </c>
      <c r="H100" s="16">
        <f t="shared" si="6"/>
        <v>822.29402381537159</v>
      </c>
      <c r="I100" s="16">
        <f t="shared" si="7"/>
        <v>641.87554911199527</v>
      </c>
      <c r="J100" s="16">
        <f t="shared" si="9"/>
        <v>180.41847470337632</v>
      </c>
      <c r="K100" s="16">
        <f t="shared" si="10"/>
        <v>85402.988073562665</v>
      </c>
    </row>
    <row r="101" spans="6:11">
      <c r="F101">
        <f t="shared" si="11"/>
        <v>99</v>
      </c>
      <c r="G101" s="16">
        <f t="shared" si="8"/>
        <v>85402.988073562665</v>
      </c>
      <c r="H101" s="16">
        <f t="shared" si="6"/>
        <v>822.29402381537159</v>
      </c>
      <c r="I101" s="16">
        <f t="shared" si="7"/>
        <v>640.52241055171999</v>
      </c>
      <c r="J101" s="16">
        <f t="shared" si="9"/>
        <v>181.7716132636516</v>
      </c>
      <c r="K101" s="16">
        <f t="shared" si="10"/>
        <v>85221.216460299009</v>
      </c>
    </row>
    <row r="102" spans="6:11">
      <c r="F102">
        <f t="shared" si="11"/>
        <v>100</v>
      </c>
      <c r="G102" s="16">
        <f t="shared" si="8"/>
        <v>85221.216460299009</v>
      </c>
      <c r="H102" s="16">
        <f t="shared" si="6"/>
        <v>822.29402381537159</v>
      </c>
      <c r="I102" s="16">
        <f t="shared" si="7"/>
        <v>639.15912345224251</v>
      </c>
      <c r="J102" s="16">
        <f t="shared" si="9"/>
        <v>183.13490036312908</v>
      </c>
      <c r="K102" s="16">
        <f t="shared" si="10"/>
        <v>85038.081559935876</v>
      </c>
    </row>
    <row r="103" spans="6:11">
      <c r="F103">
        <f t="shared" si="11"/>
        <v>101</v>
      </c>
      <c r="G103" s="16">
        <f t="shared" si="8"/>
        <v>85038.081559935876</v>
      </c>
      <c r="H103" s="16">
        <f t="shared" si="6"/>
        <v>822.29402381537159</v>
      </c>
      <c r="I103" s="16">
        <f t="shared" si="7"/>
        <v>637.785611699519</v>
      </c>
      <c r="J103" s="16">
        <f t="shared" si="9"/>
        <v>184.50841211585259</v>
      </c>
      <c r="K103" s="16">
        <f t="shared" si="10"/>
        <v>84853.573147820018</v>
      </c>
    </row>
    <row r="104" spans="6:11">
      <c r="F104">
        <f t="shared" si="11"/>
        <v>102</v>
      </c>
      <c r="G104" s="16">
        <f t="shared" si="8"/>
        <v>84853.573147820018</v>
      </c>
      <c r="H104" s="16">
        <f t="shared" si="6"/>
        <v>822.29402381537159</v>
      </c>
      <c r="I104" s="16">
        <f t="shared" si="7"/>
        <v>636.4017986086501</v>
      </c>
      <c r="J104" s="16">
        <f t="shared" si="9"/>
        <v>185.89222520672149</v>
      </c>
      <c r="K104" s="16">
        <f t="shared" si="10"/>
        <v>84667.68092261329</v>
      </c>
    </row>
    <row r="105" spans="6:11">
      <c r="F105">
        <f t="shared" si="11"/>
        <v>103</v>
      </c>
      <c r="G105" s="16">
        <f t="shared" si="8"/>
        <v>84667.68092261329</v>
      </c>
      <c r="H105" s="16">
        <f t="shared" si="6"/>
        <v>822.29402381537159</v>
      </c>
      <c r="I105" s="16">
        <f t="shared" si="7"/>
        <v>635.00760691959965</v>
      </c>
      <c r="J105" s="16">
        <f t="shared" si="9"/>
        <v>187.28641689577194</v>
      </c>
      <c r="K105" s="16">
        <f t="shared" si="10"/>
        <v>84480.394505717515</v>
      </c>
    </row>
    <row r="106" spans="6:11">
      <c r="F106">
        <f t="shared" si="11"/>
        <v>104</v>
      </c>
      <c r="G106" s="16">
        <f t="shared" si="8"/>
        <v>84480.394505717515</v>
      </c>
      <c r="H106" s="16">
        <f t="shared" si="6"/>
        <v>822.29402381537159</v>
      </c>
      <c r="I106" s="16">
        <f t="shared" si="7"/>
        <v>633.6029587928814</v>
      </c>
      <c r="J106" s="16">
        <f t="shared" si="9"/>
        <v>188.69106502249019</v>
      </c>
      <c r="K106" s="16">
        <f t="shared" si="10"/>
        <v>84291.703440695026</v>
      </c>
    </row>
    <row r="107" spans="6:11">
      <c r="F107">
        <f t="shared" si="11"/>
        <v>105</v>
      </c>
      <c r="G107" s="16">
        <f t="shared" si="8"/>
        <v>84291.703440695026</v>
      </c>
      <c r="H107" s="16">
        <f t="shared" si="6"/>
        <v>822.29402381537159</v>
      </c>
      <c r="I107" s="16">
        <f t="shared" si="7"/>
        <v>632.18777580521271</v>
      </c>
      <c r="J107" s="16">
        <f t="shared" si="9"/>
        <v>190.10624801015888</v>
      </c>
      <c r="K107" s="16">
        <f t="shared" si="10"/>
        <v>84101.597192684872</v>
      </c>
    </row>
    <row r="108" spans="6:11">
      <c r="F108">
        <f t="shared" si="11"/>
        <v>106</v>
      </c>
      <c r="G108" s="16">
        <f t="shared" si="8"/>
        <v>84101.597192684872</v>
      </c>
      <c r="H108" s="16">
        <f t="shared" si="6"/>
        <v>822.29402381537159</v>
      </c>
      <c r="I108" s="16">
        <f t="shared" si="7"/>
        <v>630.76197894513655</v>
      </c>
      <c r="J108" s="16">
        <f t="shared" si="9"/>
        <v>191.53204487023504</v>
      </c>
      <c r="K108" s="16">
        <f t="shared" si="10"/>
        <v>83910.065147814632</v>
      </c>
    </row>
    <row r="109" spans="6:11">
      <c r="F109">
        <f t="shared" si="11"/>
        <v>107</v>
      </c>
      <c r="G109" s="16">
        <f t="shared" si="8"/>
        <v>83910.065147814632</v>
      </c>
      <c r="H109" s="16">
        <f t="shared" si="6"/>
        <v>822.29402381537159</v>
      </c>
      <c r="I109" s="16">
        <f t="shared" si="7"/>
        <v>629.3254886086097</v>
      </c>
      <c r="J109" s="16">
        <f t="shared" si="9"/>
        <v>192.96853520676189</v>
      </c>
      <c r="K109" s="16">
        <f t="shared" si="10"/>
        <v>83717.096612607871</v>
      </c>
    </row>
    <row r="110" spans="6:11">
      <c r="F110">
        <f t="shared" si="11"/>
        <v>108</v>
      </c>
      <c r="G110" s="16">
        <f t="shared" si="8"/>
        <v>83717.096612607871</v>
      </c>
      <c r="H110" s="16">
        <f t="shared" si="6"/>
        <v>822.29402381537159</v>
      </c>
      <c r="I110" s="16">
        <f t="shared" si="7"/>
        <v>627.87822459455901</v>
      </c>
      <c r="J110" s="16">
        <f t="shared" si="9"/>
        <v>194.41579922081257</v>
      </c>
      <c r="K110" s="16">
        <f t="shared" si="10"/>
        <v>83522.680813387065</v>
      </c>
    </row>
    <row r="111" spans="6:11">
      <c r="F111">
        <f t="shared" si="11"/>
        <v>109</v>
      </c>
      <c r="G111" s="16">
        <f t="shared" si="8"/>
        <v>83522.680813387065</v>
      </c>
      <c r="H111" s="16">
        <f t="shared" si="6"/>
        <v>822.29402381537159</v>
      </c>
      <c r="I111" s="16">
        <f t="shared" si="7"/>
        <v>626.42010610040302</v>
      </c>
      <c r="J111" s="16">
        <f t="shared" si="9"/>
        <v>195.87391771496857</v>
      </c>
      <c r="K111" s="16">
        <f t="shared" si="10"/>
        <v>83326.806895672096</v>
      </c>
    </row>
    <row r="112" spans="6:11">
      <c r="F112">
        <f t="shared" si="11"/>
        <v>110</v>
      </c>
      <c r="G112" s="16">
        <f t="shared" si="8"/>
        <v>83326.806895672096</v>
      </c>
      <c r="H112" s="16">
        <f t="shared" si="6"/>
        <v>822.29402381537159</v>
      </c>
      <c r="I112" s="16">
        <f t="shared" si="7"/>
        <v>624.95105171754074</v>
      </c>
      <c r="J112" s="16">
        <f t="shared" si="9"/>
        <v>197.34297209783085</v>
      </c>
      <c r="K112" s="16">
        <f t="shared" si="10"/>
        <v>83129.463923574265</v>
      </c>
    </row>
    <row r="113" spans="6:11">
      <c r="F113">
        <f t="shared" si="11"/>
        <v>111</v>
      </c>
      <c r="G113" s="16">
        <f t="shared" si="8"/>
        <v>83129.463923574265</v>
      </c>
      <c r="H113" s="16">
        <f t="shared" si="6"/>
        <v>822.29402381537159</v>
      </c>
      <c r="I113" s="16">
        <f t="shared" si="7"/>
        <v>623.47097942680693</v>
      </c>
      <c r="J113" s="16">
        <f t="shared" si="9"/>
        <v>198.82304438856465</v>
      </c>
      <c r="K113" s="16">
        <f t="shared" si="10"/>
        <v>82930.640879185696</v>
      </c>
    </row>
    <row r="114" spans="6:11">
      <c r="F114">
        <f t="shared" si="11"/>
        <v>112</v>
      </c>
      <c r="G114" s="16">
        <f t="shared" si="8"/>
        <v>82930.640879185696</v>
      </c>
      <c r="H114" s="16">
        <f t="shared" si="6"/>
        <v>822.29402381537159</v>
      </c>
      <c r="I114" s="16">
        <f t="shared" si="7"/>
        <v>621.9798065938927</v>
      </c>
      <c r="J114" s="16">
        <f t="shared" si="9"/>
        <v>200.31421722147888</v>
      </c>
      <c r="K114" s="16">
        <f t="shared" si="10"/>
        <v>82730.326661964224</v>
      </c>
    </row>
    <row r="115" spans="6:11">
      <c r="F115">
        <f t="shared" si="11"/>
        <v>113</v>
      </c>
      <c r="G115" s="16">
        <f t="shared" si="8"/>
        <v>82730.326661964224</v>
      </c>
      <c r="H115" s="16">
        <f t="shared" si="6"/>
        <v>822.29402381537159</v>
      </c>
      <c r="I115" s="16">
        <f t="shared" si="7"/>
        <v>620.4774499647317</v>
      </c>
      <c r="J115" s="16">
        <f t="shared" si="9"/>
        <v>201.81657385063988</v>
      </c>
      <c r="K115" s="16">
        <f t="shared" si="10"/>
        <v>82528.510088113588</v>
      </c>
    </row>
    <row r="116" spans="6:11">
      <c r="F116">
        <f t="shared" si="11"/>
        <v>114</v>
      </c>
      <c r="G116" s="16">
        <f t="shared" si="8"/>
        <v>82528.510088113588</v>
      </c>
      <c r="H116" s="16">
        <f t="shared" si="6"/>
        <v>822.29402381537159</v>
      </c>
      <c r="I116" s="16">
        <f t="shared" si="7"/>
        <v>618.96382566085185</v>
      </c>
      <c r="J116" s="16">
        <f t="shared" si="9"/>
        <v>203.33019815451973</v>
      </c>
      <c r="K116" s="16">
        <f t="shared" si="10"/>
        <v>82325.179889959065</v>
      </c>
    </row>
    <row r="117" spans="6:11">
      <c r="F117">
        <f t="shared" si="11"/>
        <v>115</v>
      </c>
      <c r="G117" s="16">
        <f t="shared" si="8"/>
        <v>82325.179889959065</v>
      </c>
      <c r="H117" s="16">
        <f t="shared" si="6"/>
        <v>822.29402381537159</v>
      </c>
      <c r="I117" s="16">
        <f t="shared" si="7"/>
        <v>617.43884917469302</v>
      </c>
      <c r="J117" s="16">
        <f t="shared" si="9"/>
        <v>204.85517464067857</v>
      </c>
      <c r="K117" s="16">
        <f t="shared" si="10"/>
        <v>82120.324715318391</v>
      </c>
    </row>
    <row r="118" spans="6:11">
      <c r="F118">
        <f t="shared" si="11"/>
        <v>116</v>
      </c>
      <c r="G118" s="16">
        <f t="shared" si="8"/>
        <v>82120.324715318391</v>
      </c>
      <c r="H118" s="16">
        <f t="shared" si="6"/>
        <v>822.29402381537159</v>
      </c>
      <c r="I118" s="16">
        <f t="shared" si="7"/>
        <v>615.90243536488788</v>
      </c>
      <c r="J118" s="16">
        <f t="shared" si="9"/>
        <v>206.39158845048371</v>
      </c>
      <c r="K118" s="16">
        <f t="shared" si="10"/>
        <v>81913.933126867909</v>
      </c>
    </row>
    <row r="119" spans="6:11">
      <c r="F119">
        <f t="shared" si="11"/>
        <v>117</v>
      </c>
      <c r="G119" s="16">
        <f t="shared" si="8"/>
        <v>81913.933126867909</v>
      </c>
      <c r="H119" s="16">
        <f t="shared" si="6"/>
        <v>822.29402381537159</v>
      </c>
      <c r="I119" s="16">
        <f t="shared" si="7"/>
        <v>614.35449845150924</v>
      </c>
      <c r="J119" s="16">
        <f t="shared" si="9"/>
        <v>207.93952536386234</v>
      </c>
      <c r="K119" s="16">
        <f t="shared" si="10"/>
        <v>81705.993601504044</v>
      </c>
    </row>
    <row r="120" spans="6:11">
      <c r="F120">
        <f t="shared" si="11"/>
        <v>118</v>
      </c>
      <c r="G120" s="16">
        <f t="shared" si="8"/>
        <v>81705.993601504044</v>
      </c>
      <c r="H120" s="16">
        <f t="shared" si="6"/>
        <v>822.29402381537159</v>
      </c>
      <c r="I120" s="16">
        <f t="shared" si="7"/>
        <v>612.79495201128032</v>
      </c>
      <c r="J120" s="16">
        <f t="shared" si="9"/>
        <v>209.49907180409127</v>
      </c>
      <c r="K120" s="16">
        <f t="shared" si="10"/>
        <v>81496.49452969995</v>
      </c>
    </row>
    <row r="121" spans="6:11">
      <c r="F121">
        <f t="shared" si="11"/>
        <v>119</v>
      </c>
      <c r="G121" s="16">
        <f t="shared" si="8"/>
        <v>81496.49452969995</v>
      </c>
      <c r="H121" s="16">
        <f t="shared" si="6"/>
        <v>822.29402381537159</v>
      </c>
      <c r="I121" s="16">
        <f t="shared" si="7"/>
        <v>611.22370897274959</v>
      </c>
      <c r="J121" s="16">
        <f t="shared" si="9"/>
        <v>211.070314842622</v>
      </c>
      <c r="K121" s="16">
        <f t="shared" si="10"/>
        <v>81285.424214857325</v>
      </c>
    </row>
    <row r="122" spans="6:11">
      <c r="F122">
        <f t="shared" si="11"/>
        <v>120</v>
      </c>
      <c r="G122" s="16">
        <f t="shared" si="8"/>
        <v>81285.424214857325</v>
      </c>
      <c r="H122" s="16">
        <f t="shared" si="6"/>
        <v>822.29402381537159</v>
      </c>
      <c r="I122" s="16">
        <f t="shared" si="7"/>
        <v>609.64068161142995</v>
      </c>
      <c r="J122" s="16">
        <f t="shared" si="9"/>
        <v>212.65334220394163</v>
      </c>
      <c r="K122" s="16">
        <f t="shared" si="10"/>
        <v>81072.770872653389</v>
      </c>
    </row>
    <row r="123" spans="6:11">
      <c r="F123">
        <f t="shared" si="11"/>
        <v>121</v>
      </c>
      <c r="G123" s="16">
        <f t="shared" si="8"/>
        <v>81072.770872653389</v>
      </c>
      <c r="H123" s="16">
        <f t="shared" si="6"/>
        <v>822.29402381537159</v>
      </c>
      <c r="I123" s="16">
        <f t="shared" si="7"/>
        <v>608.04578154490036</v>
      </c>
      <c r="J123" s="16">
        <f t="shared" si="9"/>
        <v>214.24824227047122</v>
      </c>
      <c r="K123" s="16">
        <f t="shared" si="10"/>
        <v>80858.522630382911</v>
      </c>
    </row>
    <row r="124" spans="6:11">
      <c r="F124">
        <f t="shared" si="11"/>
        <v>122</v>
      </c>
      <c r="G124" s="16">
        <f t="shared" si="8"/>
        <v>80858.522630382911</v>
      </c>
      <c r="H124" s="16">
        <f t="shared" si="6"/>
        <v>822.29402381537159</v>
      </c>
      <c r="I124" s="16">
        <f t="shared" si="7"/>
        <v>606.43891972787185</v>
      </c>
      <c r="J124" s="16">
        <f t="shared" si="9"/>
        <v>215.85510408749974</v>
      </c>
      <c r="K124" s="16">
        <f t="shared" si="10"/>
        <v>80642.667526295409</v>
      </c>
    </row>
    <row r="125" spans="6:11">
      <c r="F125">
        <f t="shared" si="11"/>
        <v>123</v>
      </c>
      <c r="G125" s="16">
        <f t="shared" si="8"/>
        <v>80642.667526295409</v>
      </c>
      <c r="H125" s="16">
        <f t="shared" si="6"/>
        <v>822.29402381537159</v>
      </c>
      <c r="I125" s="16">
        <f t="shared" si="7"/>
        <v>604.82000644721552</v>
      </c>
      <c r="J125" s="16">
        <f t="shared" si="9"/>
        <v>217.47401736815607</v>
      </c>
      <c r="K125" s="16">
        <f t="shared" si="10"/>
        <v>80425.193508927259</v>
      </c>
    </row>
    <row r="126" spans="6:11">
      <c r="F126">
        <f t="shared" si="11"/>
        <v>124</v>
      </c>
      <c r="G126" s="16">
        <f t="shared" si="8"/>
        <v>80425.193508927259</v>
      </c>
      <c r="H126" s="16">
        <f t="shared" si="6"/>
        <v>822.29402381537159</v>
      </c>
      <c r="I126" s="16">
        <f t="shared" si="7"/>
        <v>603.18895131695444</v>
      </c>
      <c r="J126" s="16">
        <f t="shared" si="9"/>
        <v>219.10507249841714</v>
      </c>
      <c r="K126" s="16">
        <f t="shared" si="10"/>
        <v>80206.088436428836</v>
      </c>
    </row>
    <row r="127" spans="6:11">
      <c r="F127">
        <f t="shared" si="11"/>
        <v>125</v>
      </c>
      <c r="G127" s="16">
        <f t="shared" si="8"/>
        <v>80206.088436428836</v>
      </c>
      <c r="H127" s="16">
        <f t="shared" si="6"/>
        <v>822.29402381537159</v>
      </c>
      <c r="I127" s="16">
        <f t="shared" si="7"/>
        <v>601.54566327321629</v>
      </c>
      <c r="J127" s="16">
        <f t="shared" si="9"/>
        <v>220.7483605421553</v>
      </c>
      <c r="K127" s="16">
        <f t="shared" si="10"/>
        <v>79985.340075886677</v>
      </c>
    </row>
    <row r="128" spans="6:11">
      <c r="F128">
        <f t="shared" si="11"/>
        <v>126</v>
      </c>
      <c r="G128" s="16">
        <f t="shared" si="8"/>
        <v>79985.340075886677</v>
      </c>
      <c r="H128" s="16">
        <f t="shared" ref="H128:H191" si="12">$C$15</f>
        <v>822.29402381537159</v>
      </c>
      <c r="I128" s="16">
        <f t="shared" ref="I128:I191" si="13">G128*$C$13</f>
        <v>599.89005056915005</v>
      </c>
      <c r="J128" s="16">
        <f t="shared" si="9"/>
        <v>222.40397324622154</v>
      </c>
      <c r="K128" s="16">
        <f t="shared" si="10"/>
        <v>79762.936102640451</v>
      </c>
    </row>
    <row r="129" spans="6:11">
      <c r="F129">
        <f t="shared" si="11"/>
        <v>127</v>
      </c>
      <c r="G129" s="16">
        <f t="shared" si="8"/>
        <v>79762.936102640451</v>
      </c>
      <c r="H129" s="16">
        <f t="shared" si="12"/>
        <v>822.29402381537159</v>
      </c>
      <c r="I129" s="16">
        <f t="shared" si="13"/>
        <v>598.22202076980341</v>
      </c>
      <c r="J129" s="16">
        <f t="shared" si="9"/>
        <v>224.07200304556818</v>
      </c>
      <c r="K129" s="16">
        <f t="shared" si="10"/>
        <v>79538.864099594881</v>
      </c>
    </row>
    <row r="130" spans="6:11">
      <c r="F130">
        <f t="shared" si="11"/>
        <v>128</v>
      </c>
      <c r="G130" s="16">
        <f t="shared" si="8"/>
        <v>79538.864099594881</v>
      </c>
      <c r="H130" s="16">
        <f t="shared" si="12"/>
        <v>822.29402381537159</v>
      </c>
      <c r="I130" s="16">
        <f t="shared" si="13"/>
        <v>596.54148074696161</v>
      </c>
      <c r="J130" s="16">
        <f t="shared" si="9"/>
        <v>225.75254306840998</v>
      </c>
      <c r="K130" s="16">
        <f t="shared" si="10"/>
        <v>79313.111556526477</v>
      </c>
    </row>
    <row r="131" spans="6:11">
      <c r="F131">
        <f t="shared" si="11"/>
        <v>129</v>
      </c>
      <c r="G131" s="16">
        <f t="shared" si="8"/>
        <v>79313.111556526477</v>
      </c>
      <c r="H131" s="16">
        <f t="shared" si="12"/>
        <v>822.29402381537159</v>
      </c>
      <c r="I131" s="16">
        <f t="shared" si="13"/>
        <v>594.84833667394855</v>
      </c>
      <c r="J131" s="16">
        <f t="shared" si="9"/>
        <v>227.44568714142304</v>
      </c>
      <c r="K131" s="16">
        <f t="shared" si="10"/>
        <v>79085.665869385048</v>
      </c>
    </row>
    <row r="132" spans="6:11">
      <c r="F132">
        <f t="shared" si="11"/>
        <v>130</v>
      </c>
      <c r="G132" s="16">
        <f t="shared" ref="G132:G195" si="14">K131</f>
        <v>79085.665869385048</v>
      </c>
      <c r="H132" s="16">
        <f t="shared" si="12"/>
        <v>822.29402381537159</v>
      </c>
      <c r="I132" s="16">
        <f t="shared" si="13"/>
        <v>593.14249402038786</v>
      </c>
      <c r="J132" s="16">
        <f t="shared" ref="J132:J195" si="15">H132-I132</f>
        <v>229.15152979498373</v>
      </c>
      <c r="K132" s="16">
        <f t="shared" ref="K132:K195" si="16">G132-J132</f>
        <v>78856.514339590067</v>
      </c>
    </row>
    <row r="133" spans="6:11">
      <c r="F133">
        <f t="shared" ref="F133:F196" si="17">1+F132</f>
        <v>131</v>
      </c>
      <c r="G133" s="16">
        <f t="shared" si="14"/>
        <v>78856.514339590067</v>
      </c>
      <c r="H133" s="16">
        <f t="shared" si="12"/>
        <v>822.29402381537159</v>
      </c>
      <c r="I133" s="16">
        <f t="shared" si="13"/>
        <v>591.42385754692543</v>
      </c>
      <c r="J133" s="16">
        <f t="shared" si="15"/>
        <v>230.87016626844616</v>
      </c>
      <c r="K133" s="16">
        <f t="shared" si="16"/>
        <v>78625.64417332162</v>
      </c>
    </row>
    <row r="134" spans="6:11">
      <c r="F134">
        <f t="shared" si="17"/>
        <v>132</v>
      </c>
      <c r="G134" s="16">
        <f t="shared" si="14"/>
        <v>78625.64417332162</v>
      </c>
      <c r="H134" s="16">
        <f t="shared" si="12"/>
        <v>822.29402381537159</v>
      </c>
      <c r="I134" s="16">
        <f t="shared" si="13"/>
        <v>589.6923312999121</v>
      </c>
      <c r="J134" s="16">
        <f t="shared" si="15"/>
        <v>232.60169251545949</v>
      </c>
      <c r="K134" s="16">
        <f t="shared" si="16"/>
        <v>78393.042480806165</v>
      </c>
    </row>
    <row r="135" spans="6:11">
      <c r="F135">
        <f t="shared" si="17"/>
        <v>133</v>
      </c>
      <c r="G135" s="16">
        <f t="shared" si="14"/>
        <v>78393.042480806165</v>
      </c>
      <c r="H135" s="16">
        <f t="shared" si="12"/>
        <v>822.29402381537159</v>
      </c>
      <c r="I135" s="16">
        <f t="shared" si="13"/>
        <v>587.94781860604621</v>
      </c>
      <c r="J135" s="16">
        <f t="shared" si="15"/>
        <v>234.34620520932538</v>
      </c>
      <c r="K135" s="16">
        <f t="shared" si="16"/>
        <v>78158.696275596842</v>
      </c>
    </row>
    <row r="136" spans="6:11">
      <c r="F136">
        <f t="shared" si="17"/>
        <v>134</v>
      </c>
      <c r="G136" s="16">
        <f t="shared" si="14"/>
        <v>78158.696275596842</v>
      </c>
      <c r="H136" s="16">
        <f t="shared" si="12"/>
        <v>822.29402381537159</v>
      </c>
      <c r="I136" s="16">
        <f t="shared" si="13"/>
        <v>586.19022206697628</v>
      </c>
      <c r="J136" s="16">
        <f t="shared" si="15"/>
        <v>236.10380174839531</v>
      </c>
      <c r="K136" s="16">
        <f t="shared" si="16"/>
        <v>77922.592473848446</v>
      </c>
    </row>
    <row r="137" spans="6:11">
      <c r="F137">
        <f t="shared" si="17"/>
        <v>135</v>
      </c>
      <c r="G137" s="16">
        <f t="shared" si="14"/>
        <v>77922.592473848446</v>
      </c>
      <c r="H137" s="16">
        <f t="shared" si="12"/>
        <v>822.29402381537159</v>
      </c>
      <c r="I137" s="16">
        <f t="shared" si="13"/>
        <v>584.41944355386329</v>
      </c>
      <c r="J137" s="16">
        <f t="shared" si="15"/>
        <v>237.8745802615083</v>
      </c>
      <c r="K137" s="16">
        <f t="shared" si="16"/>
        <v>77684.717893586945</v>
      </c>
    </row>
    <row r="138" spans="6:11">
      <c r="F138">
        <f t="shared" si="17"/>
        <v>136</v>
      </c>
      <c r="G138" s="16">
        <f t="shared" si="14"/>
        <v>77684.717893586945</v>
      </c>
      <c r="H138" s="16">
        <f t="shared" si="12"/>
        <v>822.29402381537159</v>
      </c>
      <c r="I138" s="16">
        <f t="shared" si="13"/>
        <v>582.63538420190207</v>
      </c>
      <c r="J138" s="16">
        <f t="shared" si="15"/>
        <v>239.65863961346952</v>
      </c>
      <c r="K138" s="16">
        <f t="shared" si="16"/>
        <v>77445.059253973479</v>
      </c>
    </row>
    <row r="139" spans="6:11">
      <c r="F139">
        <f t="shared" si="17"/>
        <v>137</v>
      </c>
      <c r="G139" s="16">
        <f t="shared" si="14"/>
        <v>77445.059253973479</v>
      </c>
      <c r="H139" s="16">
        <f t="shared" si="12"/>
        <v>822.29402381537159</v>
      </c>
      <c r="I139" s="16">
        <f t="shared" si="13"/>
        <v>580.83794440480108</v>
      </c>
      <c r="J139" s="16">
        <f t="shared" si="15"/>
        <v>241.45607941057051</v>
      </c>
      <c r="K139" s="16">
        <f t="shared" si="16"/>
        <v>77203.603174562915</v>
      </c>
    </row>
    <row r="140" spans="6:11">
      <c r="F140">
        <f t="shared" si="17"/>
        <v>138</v>
      </c>
      <c r="G140" s="16">
        <f t="shared" si="14"/>
        <v>77203.603174562915</v>
      </c>
      <c r="H140" s="16">
        <f t="shared" si="12"/>
        <v>822.29402381537159</v>
      </c>
      <c r="I140" s="16">
        <f t="shared" si="13"/>
        <v>579.02702380922187</v>
      </c>
      <c r="J140" s="16">
        <f t="shared" si="15"/>
        <v>243.26700000614971</v>
      </c>
      <c r="K140" s="16">
        <f t="shared" si="16"/>
        <v>76960.336174556767</v>
      </c>
    </row>
    <row r="141" spans="6:11">
      <c r="F141">
        <f t="shared" si="17"/>
        <v>139</v>
      </c>
      <c r="G141" s="16">
        <f t="shared" si="14"/>
        <v>76960.336174556767</v>
      </c>
      <c r="H141" s="16">
        <f t="shared" si="12"/>
        <v>822.29402381537159</v>
      </c>
      <c r="I141" s="16">
        <f t="shared" si="13"/>
        <v>577.20252130917572</v>
      </c>
      <c r="J141" s="16">
        <f t="shared" si="15"/>
        <v>245.09150250619587</v>
      </c>
      <c r="K141" s="16">
        <f t="shared" si="16"/>
        <v>76715.244672050569</v>
      </c>
    </row>
    <row r="142" spans="6:11">
      <c r="F142">
        <f t="shared" si="17"/>
        <v>140</v>
      </c>
      <c r="G142" s="16">
        <f t="shared" si="14"/>
        <v>76715.244672050569</v>
      </c>
      <c r="H142" s="16">
        <f t="shared" si="12"/>
        <v>822.29402381537159</v>
      </c>
      <c r="I142" s="16">
        <f t="shared" si="13"/>
        <v>575.36433504037927</v>
      </c>
      <c r="J142" s="16">
        <f t="shared" si="15"/>
        <v>246.92968877499231</v>
      </c>
      <c r="K142" s="16">
        <f t="shared" si="16"/>
        <v>76468.314983275573</v>
      </c>
    </row>
    <row r="143" spans="6:11">
      <c r="F143">
        <f t="shared" si="17"/>
        <v>141</v>
      </c>
      <c r="G143" s="16">
        <f t="shared" si="14"/>
        <v>76468.314983275573</v>
      </c>
      <c r="H143" s="16">
        <f t="shared" si="12"/>
        <v>822.29402381537159</v>
      </c>
      <c r="I143" s="16">
        <f t="shared" si="13"/>
        <v>573.51236237456681</v>
      </c>
      <c r="J143" s="16">
        <f t="shared" si="15"/>
        <v>248.78166144080478</v>
      </c>
      <c r="K143" s="16">
        <f t="shared" si="16"/>
        <v>76219.533321834766</v>
      </c>
    </row>
    <row r="144" spans="6:11">
      <c r="F144">
        <f t="shared" si="17"/>
        <v>142</v>
      </c>
      <c r="G144" s="16">
        <f t="shared" si="14"/>
        <v>76219.533321834766</v>
      </c>
      <c r="H144" s="16">
        <f t="shared" si="12"/>
        <v>822.29402381537159</v>
      </c>
      <c r="I144" s="16">
        <f t="shared" si="13"/>
        <v>571.64649991376075</v>
      </c>
      <c r="J144" s="16">
        <f t="shared" si="15"/>
        <v>250.64752390161084</v>
      </c>
      <c r="K144" s="16">
        <f t="shared" si="16"/>
        <v>75968.885797933151</v>
      </c>
    </row>
    <row r="145" spans="6:11">
      <c r="F145">
        <f t="shared" si="17"/>
        <v>143</v>
      </c>
      <c r="G145" s="16">
        <f t="shared" si="14"/>
        <v>75968.885797933151</v>
      </c>
      <c r="H145" s="16">
        <f t="shared" si="12"/>
        <v>822.29402381537159</v>
      </c>
      <c r="I145" s="16">
        <f t="shared" si="13"/>
        <v>569.76664348449856</v>
      </c>
      <c r="J145" s="16">
        <f t="shared" si="15"/>
        <v>252.52738033087303</v>
      </c>
      <c r="K145" s="16">
        <f t="shared" si="16"/>
        <v>75716.358417602285</v>
      </c>
    </row>
    <row r="146" spans="6:11">
      <c r="F146">
        <f t="shared" si="17"/>
        <v>144</v>
      </c>
      <c r="G146" s="16">
        <f t="shared" si="14"/>
        <v>75716.358417602285</v>
      </c>
      <c r="H146" s="16">
        <f t="shared" si="12"/>
        <v>822.29402381537159</v>
      </c>
      <c r="I146" s="16">
        <f t="shared" si="13"/>
        <v>567.87268813201706</v>
      </c>
      <c r="J146" s="16">
        <f t="shared" si="15"/>
        <v>254.42133568335453</v>
      </c>
      <c r="K146" s="16">
        <f t="shared" si="16"/>
        <v>75461.937081918935</v>
      </c>
    </row>
    <row r="147" spans="6:11">
      <c r="F147">
        <f t="shared" si="17"/>
        <v>145</v>
      </c>
      <c r="G147" s="16">
        <f t="shared" si="14"/>
        <v>75461.937081918935</v>
      </c>
      <c r="H147" s="16">
        <f t="shared" si="12"/>
        <v>822.29402381537159</v>
      </c>
      <c r="I147" s="16">
        <f t="shared" si="13"/>
        <v>565.96452811439201</v>
      </c>
      <c r="J147" s="16">
        <f t="shared" si="15"/>
        <v>256.32949570097958</v>
      </c>
      <c r="K147" s="16">
        <f t="shared" si="16"/>
        <v>75205.607586217957</v>
      </c>
    </row>
    <row r="148" spans="6:11">
      <c r="F148">
        <f t="shared" si="17"/>
        <v>146</v>
      </c>
      <c r="G148" s="16">
        <f t="shared" si="14"/>
        <v>75205.607586217957</v>
      </c>
      <c r="H148" s="16">
        <f t="shared" si="12"/>
        <v>822.29402381537159</v>
      </c>
      <c r="I148" s="16">
        <f t="shared" si="13"/>
        <v>564.04205689663468</v>
      </c>
      <c r="J148" s="16">
        <f t="shared" si="15"/>
        <v>258.25196691873691</v>
      </c>
      <c r="K148" s="16">
        <f t="shared" si="16"/>
        <v>74947.355619299226</v>
      </c>
    </row>
    <row r="149" spans="6:11">
      <c r="F149">
        <f t="shared" si="17"/>
        <v>147</v>
      </c>
      <c r="G149" s="16">
        <f t="shared" si="14"/>
        <v>74947.355619299226</v>
      </c>
      <c r="H149" s="16">
        <f t="shared" si="12"/>
        <v>822.29402381537159</v>
      </c>
      <c r="I149" s="16">
        <f t="shared" si="13"/>
        <v>562.1051671447442</v>
      </c>
      <c r="J149" s="16">
        <f t="shared" si="15"/>
        <v>260.18885667062739</v>
      </c>
      <c r="K149" s="16">
        <f t="shared" si="16"/>
        <v>74687.166762628593</v>
      </c>
    </row>
    <row r="150" spans="6:11">
      <c r="F150">
        <f t="shared" si="17"/>
        <v>148</v>
      </c>
      <c r="G150" s="16">
        <f t="shared" si="14"/>
        <v>74687.166762628593</v>
      </c>
      <c r="H150" s="16">
        <f t="shared" si="12"/>
        <v>822.29402381537159</v>
      </c>
      <c r="I150" s="16">
        <f t="shared" si="13"/>
        <v>560.15375071971437</v>
      </c>
      <c r="J150" s="16">
        <f t="shared" si="15"/>
        <v>262.14027309565722</v>
      </c>
      <c r="K150" s="16">
        <f t="shared" si="16"/>
        <v>74425.026489532931</v>
      </c>
    </row>
    <row r="151" spans="6:11">
      <c r="F151">
        <f t="shared" si="17"/>
        <v>149</v>
      </c>
      <c r="G151" s="16">
        <f t="shared" si="14"/>
        <v>74425.026489532931</v>
      </c>
      <c r="H151" s="16">
        <f t="shared" si="12"/>
        <v>822.29402381537159</v>
      </c>
      <c r="I151" s="16">
        <f t="shared" si="13"/>
        <v>558.18769867149695</v>
      </c>
      <c r="J151" s="16">
        <f t="shared" si="15"/>
        <v>264.10632514387464</v>
      </c>
      <c r="K151" s="16">
        <f t="shared" si="16"/>
        <v>74160.920164389056</v>
      </c>
    </row>
    <row r="152" spans="6:11">
      <c r="F152">
        <f t="shared" si="17"/>
        <v>150</v>
      </c>
      <c r="G152" s="16">
        <f t="shared" si="14"/>
        <v>74160.920164389056</v>
      </c>
      <c r="H152" s="16">
        <f t="shared" si="12"/>
        <v>822.29402381537159</v>
      </c>
      <c r="I152" s="16">
        <f t="shared" si="13"/>
        <v>556.20690123291786</v>
      </c>
      <c r="J152" s="16">
        <f t="shared" si="15"/>
        <v>266.08712258245373</v>
      </c>
      <c r="K152" s="16">
        <f t="shared" si="16"/>
        <v>73894.833041806603</v>
      </c>
    </row>
    <row r="153" spans="6:11">
      <c r="F153">
        <f t="shared" si="17"/>
        <v>151</v>
      </c>
      <c r="G153" s="16">
        <f t="shared" si="14"/>
        <v>73894.833041806603</v>
      </c>
      <c r="H153" s="16">
        <f t="shared" si="12"/>
        <v>822.29402381537159</v>
      </c>
      <c r="I153" s="16">
        <f t="shared" si="13"/>
        <v>554.21124781354945</v>
      </c>
      <c r="J153" s="16">
        <f t="shared" si="15"/>
        <v>268.08277600182214</v>
      </c>
      <c r="K153" s="16">
        <f t="shared" si="16"/>
        <v>73626.750265804774</v>
      </c>
    </row>
    <row r="154" spans="6:11">
      <c r="F154">
        <f t="shared" si="17"/>
        <v>152</v>
      </c>
      <c r="G154" s="16">
        <f t="shared" si="14"/>
        <v>73626.750265804774</v>
      </c>
      <c r="H154" s="16">
        <f t="shared" si="12"/>
        <v>822.29402381537159</v>
      </c>
      <c r="I154" s="16">
        <f t="shared" si="13"/>
        <v>552.20062699353582</v>
      </c>
      <c r="J154" s="16">
        <f t="shared" si="15"/>
        <v>270.09339682183577</v>
      </c>
      <c r="K154" s="16">
        <f t="shared" si="16"/>
        <v>73356.656868982944</v>
      </c>
    </row>
    <row r="155" spans="6:11">
      <c r="F155">
        <f t="shared" si="17"/>
        <v>153</v>
      </c>
      <c r="G155" s="16">
        <f t="shared" si="14"/>
        <v>73356.656868982944</v>
      </c>
      <c r="H155" s="16">
        <f t="shared" si="12"/>
        <v>822.29402381537159</v>
      </c>
      <c r="I155" s="16">
        <f t="shared" si="13"/>
        <v>550.17492651737211</v>
      </c>
      <c r="J155" s="16">
        <f t="shared" si="15"/>
        <v>272.11909729799947</v>
      </c>
      <c r="K155" s="16">
        <f t="shared" si="16"/>
        <v>73084.537771684947</v>
      </c>
    </row>
    <row r="156" spans="6:11">
      <c r="F156">
        <f t="shared" si="17"/>
        <v>154</v>
      </c>
      <c r="G156" s="16">
        <f t="shared" si="14"/>
        <v>73084.537771684947</v>
      </c>
      <c r="H156" s="16">
        <f t="shared" si="12"/>
        <v>822.29402381537159</v>
      </c>
      <c r="I156" s="16">
        <f t="shared" si="13"/>
        <v>548.13403328763707</v>
      </c>
      <c r="J156" s="16">
        <f t="shared" si="15"/>
        <v>274.15999052773452</v>
      </c>
      <c r="K156" s="16">
        <f t="shared" si="16"/>
        <v>72810.377781157207</v>
      </c>
    </row>
    <row r="157" spans="6:11">
      <c r="F157">
        <f t="shared" si="17"/>
        <v>155</v>
      </c>
      <c r="G157" s="16">
        <f t="shared" si="14"/>
        <v>72810.377781157207</v>
      </c>
      <c r="H157" s="16">
        <f t="shared" si="12"/>
        <v>822.29402381537159</v>
      </c>
      <c r="I157" s="16">
        <f t="shared" si="13"/>
        <v>546.07783335867907</v>
      </c>
      <c r="J157" s="16">
        <f t="shared" si="15"/>
        <v>276.21619045669252</v>
      </c>
      <c r="K157" s="16">
        <f t="shared" si="16"/>
        <v>72534.161590700518</v>
      </c>
    </row>
    <row r="158" spans="6:11">
      <c r="F158">
        <f t="shared" si="17"/>
        <v>156</v>
      </c>
      <c r="G158" s="16">
        <f t="shared" si="14"/>
        <v>72534.161590700518</v>
      </c>
      <c r="H158" s="16">
        <f t="shared" si="12"/>
        <v>822.29402381537159</v>
      </c>
      <c r="I158" s="16">
        <f t="shared" si="13"/>
        <v>544.00621193025381</v>
      </c>
      <c r="J158" s="16">
        <f t="shared" si="15"/>
        <v>278.28781188511778</v>
      </c>
      <c r="K158" s="16">
        <f t="shared" si="16"/>
        <v>72255.873778815396</v>
      </c>
    </row>
    <row r="159" spans="6:11">
      <c r="F159">
        <f t="shared" si="17"/>
        <v>157</v>
      </c>
      <c r="G159" s="16">
        <f t="shared" si="14"/>
        <v>72255.873778815396</v>
      </c>
      <c r="H159" s="16">
        <f t="shared" si="12"/>
        <v>822.29402381537159</v>
      </c>
      <c r="I159" s="16">
        <f t="shared" si="13"/>
        <v>541.9190533411155</v>
      </c>
      <c r="J159" s="16">
        <f t="shared" si="15"/>
        <v>280.37497047425609</v>
      </c>
      <c r="K159" s="16">
        <f t="shared" si="16"/>
        <v>71975.498808341144</v>
      </c>
    </row>
    <row r="160" spans="6:11">
      <c r="F160">
        <f t="shared" si="17"/>
        <v>158</v>
      </c>
      <c r="G160" s="16">
        <f t="shared" si="14"/>
        <v>71975.498808341144</v>
      </c>
      <c r="H160" s="16">
        <f t="shared" si="12"/>
        <v>822.29402381537159</v>
      </c>
      <c r="I160" s="16">
        <f t="shared" si="13"/>
        <v>539.81624106255856</v>
      </c>
      <c r="J160" s="16">
        <f t="shared" si="15"/>
        <v>282.47778275281303</v>
      </c>
      <c r="K160" s="16">
        <f t="shared" si="16"/>
        <v>71693.021025588328</v>
      </c>
    </row>
    <row r="161" spans="6:11">
      <c r="F161">
        <f t="shared" si="17"/>
        <v>159</v>
      </c>
      <c r="G161" s="16">
        <f t="shared" si="14"/>
        <v>71693.021025588328</v>
      </c>
      <c r="H161" s="16">
        <f t="shared" si="12"/>
        <v>822.29402381537159</v>
      </c>
      <c r="I161" s="16">
        <f t="shared" si="13"/>
        <v>537.69765769191247</v>
      </c>
      <c r="J161" s="16">
        <f t="shared" si="15"/>
        <v>284.59636612345912</v>
      </c>
      <c r="K161" s="16">
        <f t="shared" si="16"/>
        <v>71408.424659464872</v>
      </c>
    </row>
    <row r="162" spans="6:11">
      <c r="F162">
        <f t="shared" si="17"/>
        <v>160</v>
      </c>
      <c r="G162" s="16">
        <f t="shared" si="14"/>
        <v>71408.424659464872</v>
      </c>
      <c r="H162" s="16">
        <f t="shared" si="12"/>
        <v>822.29402381537159</v>
      </c>
      <c r="I162" s="16">
        <f t="shared" si="13"/>
        <v>535.56318494598656</v>
      </c>
      <c r="J162" s="16">
        <f t="shared" si="15"/>
        <v>286.73083886938502</v>
      </c>
      <c r="K162" s="16">
        <f t="shared" si="16"/>
        <v>71121.693820595494</v>
      </c>
    </row>
    <row r="163" spans="6:11">
      <c r="F163">
        <f t="shared" si="17"/>
        <v>161</v>
      </c>
      <c r="G163" s="16">
        <f t="shared" si="14"/>
        <v>71121.693820595494</v>
      </c>
      <c r="H163" s="16">
        <f t="shared" si="12"/>
        <v>822.29402381537159</v>
      </c>
      <c r="I163" s="16">
        <f t="shared" si="13"/>
        <v>533.41270365446621</v>
      </c>
      <c r="J163" s="16">
        <f t="shared" si="15"/>
        <v>288.88132016090537</v>
      </c>
      <c r="K163" s="16">
        <f t="shared" si="16"/>
        <v>70832.812500434593</v>
      </c>
    </row>
    <row r="164" spans="6:11">
      <c r="F164">
        <f t="shared" si="17"/>
        <v>162</v>
      </c>
      <c r="G164" s="16">
        <f t="shared" si="14"/>
        <v>70832.812500434593</v>
      </c>
      <c r="H164" s="16">
        <f t="shared" si="12"/>
        <v>822.29402381537159</v>
      </c>
      <c r="I164" s="16">
        <f t="shared" si="13"/>
        <v>531.2460937532594</v>
      </c>
      <c r="J164" s="16">
        <f t="shared" si="15"/>
        <v>291.04793006211219</v>
      </c>
      <c r="K164" s="16">
        <f t="shared" si="16"/>
        <v>70541.764570372485</v>
      </c>
    </row>
    <row r="165" spans="6:11">
      <c r="F165">
        <f t="shared" si="17"/>
        <v>163</v>
      </c>
      <c r="G165" s="16">
        <f t="shared" si="14"/>
        <v>70541.764570372485</v>
      </c>
      <c r="H165" s="16">
        <f t="shared" si="12"/>
        <v>822.29402381537159</v>
      </c>
      <c r="I165" s="16">
        <f t="shared" si="13"/>
        <v>529.06323427779364</v>
      </c>
      <c r="J165" s="16">
        <f t="shared" si="15"/>
        <v>293.23078953757795</v>
      </c>
      <c r="K165" s="16">
        <f t="shared" si="16"/>
        <v>70248.5337808349</v>
      </c>
    </row>
    <row r="166" spans="6:11">
      <c r="F166">
        <f t="shared" si="17"/>
        <v>164</v>
      </c>
      <c r="G166" s="16">
        <f t="shared" si="14"/>
        <v>70248.5337808349</v>
      </c>
      <c r="H166" s="16">
        <f t="shared" si="12"/>
        <v>822.29402381537159</v>
      </c>
      <c r="I166" s="16">
        <f t="shared" si="13"/>
        <v>526.86400335626172</v>
      </c>
      <c r="J166" s="16">
        <f t="shared" si="15"/>
        <v>295.43002045910987</v>
      </c>
      <c r="K166" s="16">
        <f t="shared" si="16"/>
        <v>69953.103760375787</v>
      </c>
    </row>
    <row r="167" spans="6:11">
      <c r="F167">
        <f t="shared" si="17"/>
        <v>165</v>
      </c>
      <c r="G167" s="16">
        <f t="shared" si="14"/>
        <v>69953.103760375787</v>
      </c>
      <c r="H167" s="16">
        <f t="shared" si="12"/>
        <v>822.29402381537159</v>
      </c>
      <c r="I167" s="16">
        <f t="shared" si="13"/>
        <v>524.64827820281835</v>
      </c>
      <c r="J167" s="16">
        <f t="shared" si="15"/>
        <v>297.64574561255324</v>
      </c>
      <c r="K167" s="16">
        <f t="shared" si="16"/>
        <v>69655.458014763237</v>
      </c>
    </row>
    <row r="168" spans="6:11">
      <c r="F168">
        <f t="shared" si="17"/>
        <v>166</v>
      </c>
      <c r="G168" s="16">
        <f t="shared" si="14"/>
        <v>69655.458014763237</v>
      </c>
      <c r="H168" s="16">
        <f t="shared" si="12"/>
        <v>822.29402381537159</v>
      </c>
      <c r="I168" s="16">
        <f t="shared" si="13"/>
        <v>522.41593511072426</v>
      </c>
      <c r="J168" s="16">
        <f t="shared" si="15"/>
        <v>299.87808870464733</v>
      </c>
      <c r="K168" s="16">
        <f t="shared" si="16"/>
        <v>69355.579926058592</v>
      </c>
    </row>
    <row r="169" spans="6:11">
      <c r="F169">
        <f t="shared" si="17"/>
        <v>167</v>
      </c>
      <c r="G169" s="16">
        <f t="shared" si="14"/>
        <v>69355.579926058592</v>
      </c>
      <c r="H169" s="16">
        <f t="shared" si="12"/>
        <v>822.29402381537159</v>
      </c>
      <c r="I169" s="16">
        <f t="shared" si="13"/>
        <v>520.16684944543942</v>
      </c>
      <c r="J169" s="16">
        <f t="shared" si="15"/>
        <v>302.12717436993216</v>
      </c>
      <c r="K169" s="16">
        <f t="shared" si="16"/>
        <v>69053.452751688659</v>
      </c>
    </row>
    <row r="170" spans="6:11">
      <c r="F170">
        <f t="shared" si="17"/>
        <v>168</v>
      </c>
      <c r="G170" s="16">
        <f t="shared" si="14"/>
        <v>69053.452751688659</v>
      </c>
      <c r="H170" s="16">
        <f t="shared" si="12"/>
        <v>822.29402381537159</v>
      </c>
      <c r="I170" s="16">
        <f t="shared" si="13"/>
        <v>517.90089563766492</v>
      </c>
      <c r="J170" s="16">
        <f t="shared" si="15"/>
        <v>304.39312817770667</v>
      </c>
      <c r="K170" s="16">
        <f t="shared" si="16"/>
        <v>68749.059623510955</v>
      </c>
    </row>
    <row r="171" spans="6:11">
      <c r="F171">
        <f t="shared" si="17"/>
        <v>169</v>
      </c>
      <c r="G171" s="16">
        <f t="shared" si="14"/>
        <v>68749.059623510955</v>
      </c>
      <c r="H171" s="16">
        <f t="shared" si="12"/>
        <v>822.29402381537159</v>
      </c>
      <c r="I171" s="16">
        <f t="shared" si="13"/>
        <v>515.61794717633211</v>
      </c>
      <c r="J171" s="16">
        <f t="shared" si="15"/>
        <v>306.67607663903948</v>
      </c>
      <c r="K171" s="16">
        <f t="shared" si="16"/>
        <v>68442.383546871919</v>
      </c>
    </row>
    <row r="172" spans="6:11">
      <c r="F172">
        <f t="shared" si="17"/>
        <v>170</v>
      </c>
      <c r="G172" s="16">
        <f t="shared" si="14"/>
        <v>68442.383546871919</v>
      </c>
      <c r="H172" s="16">
        <f t="shared" si="12"/>
        <v>822.29402381537159</v>
      </c>
      <c r="I172" s="16">
        <f t="shared" si="13"/>
        <v>513.31787660153941</v>
      </c>
      <c r="J172" s="16">
        <f t="shared" si="15"/>
        <v>308.97614721383218</v>
      </c>
      <c r="K172" s="16">
        <f t="shared" si="16"/>
        <v>68133.407399658085</v>
      </c>
    </row>
    <row r="173" spans="6:11">
      <c r="F173">
        <f t="shared" si="17"/>
        <v>171</v>
      </c>
      <c r="G173" s="16">
        <f t="shared" si="14"/>
        <v>68133.407399658085</v>
      </c>
      <c r="H173" s="16">
        <f t="shared" si="12"/>
        <v>822.29402381537159</v>
      </c>
      <c r="I173" s="16">
        <f t="shared" si="13"/>
        <v>511.00055549743564</v>
      </c>
      <c r="J173" s="16">
        <f t="shared" si="15"/>
        <v>311.29346831793595</v>
      </c>
      <c r="K173" s="16">
        <f t="shared" si="16"/>
        <v>67822.113931340151</v>
      </c>
    </row>
    <row r="174" spans="6:11">
      <c r="F174">
        <f t="shared" si="17"/>
        <v>172</v>
      </c>
      <c r="G174" s="16">
        <f t="shared" si="14"/>
        <v>67822.113931340151</v>
      </c>
      <c r="H174" s="16">
        <f t="shared" si="12"/>
        <v>822.29402381537159</v>
      </c>
      <c r="I174" s="16">
        <f t="shared" si="13"/>
        <v>508.66585448505111</v>
      </c>
      <c r="J174" s="16">
        <f t="shared" si="15"/>
        <v>313.62816933032047</v>
      </c>
      <c r="K174" s="16">
        <f t="shared" si="16"/>
        <v>67508.485762009834</v>
      </c>
    </row>
    <row r="175" spans="6:11">
      <c r="F175">
        <f t="shared" si="17"/>
        <v>173</v>
      </c>
      <c r="G175" s="16">
        <f t="shared" si="14"/>
        <v>67508.485762009834</v>
      </c>
      <c r="H175" s="16">
        <f t="shared" si="12"/>
        <v>822.29402381537159</v>
      </c>
      <c r="I175" s="16">
        <f t="shared" si="13"/>
        <v>506.31364321507374</v>
      </c>
      <c r="J175" s="16">
        <f t="shared" si="15"/>
        <v>315.98038060029785</v>
      </c>
      <c r="K175" s="16">
        <f t="shared" si="16"/>
        <v>67192.50538140953</v>
      </c>
    </row>
    <row r="176" spans="6:11">
      <c r="F176">
        <f t="shared" si="17"/>
        <v>174</v>
      </c>
      <c r="G176" s="16">
        <f t="shared" si="14"/>
        <v>67192.50538140953</v>
      </c>
      <c r="H176" s="16">
        <f t="shared" si="12"/>
        <v>822.29402381537159</v>
      </c>
      <c r="I176" s="16">
        <f t="shared" si="13"/>
        <v>503.94379036057148</v>
      </c>
      <c r="J176" s="16">
        <f t="shared" si="15"/>
        <v>318.3502334548001</v>
      </c>
      <c r="K176" s="16">
        <f t="shared" si="16"/>
        <v>66874.155147954734</v>
      </c>
    </row>
    <row r="177" spans="6:11">
      <c r="F177">
        <f t="shared" si="17"/>
        <v>175</v>
      </c>
      <c r="G177" s="16">
        <f t="shared" si="14"/>
        <v>66874.155147954734</v>
      </c>
      <c r="H177" s="16">
        <f t="shared" si="12"/>
        <v>822.29402381537159</v>
      </c>
      <c r="I177" s="16">
        <f t="shared" si="13"/>
        <v>501.55616360966047</v>
      </c>
      <c r="J177" s="16">
        <f t="shared" si="15"/>
        <v>320.73786020571112</v>
      </c>
      <c r="K177" s="16">
        <f t="shared" si="16"/>
        <v>66553.41728774902</v>
      </c>
    </row>
    <row r="178" spans="6:11">
      <c r="F178">
        <f t="shared" si="17"/>
        <v>176</v>
      </c>
      <c r="G178" s="16">
        <f t="shared" si="14"/>
        <v>66553.41728774902</v>
      </c>
      <c r="H178" s="16">
        <f t="shared" si="12"/>
        <v>822.29402381537159</v>
      </c>
      <c r="I178" s="16">
        <f t="shared" si="13"/>
        <v>499.15062965811762</v>
      </c>
      <c r="J178" s="16">
        <f t="shared" si="15"/>
        <v>323.14339415725397</v>
      </c>
      <c r="K178" s="16">
        <f t="shared" si="16"/>
        <v>66230.273893591773</v>
      </c>
    </row>
    <row r="179" spans="6:11">
      <c r="F179">
        <f t="shared" si="17"/>
        <v>177</v>
      </c>
      <c r="G179" s="16">
        <f t="shared" si="14"/>
        <v>66230.273893591773</v>
      </c>
      <c r="H179" s="16">
        <f t="shared" si="12"/>
        <v>822.29402381537159</v>
      </c>
      <c r="I179" s="16">
        <f t="shared" si="13"/>
        <v>496.7270542019383</v>
      </c>
      <c r="J179" s="16">
        <f t="shared" si="15"/>
        <v>325.56696961343329</v>
      </c>
      <c r="K179" s="16">
        <f t="shared" si="16"/>
        <v>65904.706923978345</v>
      </c>
    </row>
    <row r="180" spans="6:11">
      <c r="F180">
        <f t="shared" si="17"/>
        <v>178</v>
      </c>
      <c r="G180" s="16">
        <f t="shared" si="14"/>
        <v>65904.706923978345</v>
      </c>
      <c r="H180" s="16">
        <f t="shared" si="12"/>
        <v>822.29402381537159</v>
      </c>
      <c r="I180" s="16">
        <f t="shared" si="13"/>
        <v>494.28530192983754</v>
      </c>
      <c r="J180" s="16">
        <f t="shared" si="15"/>
        <v>328.00872188553404</v>
      </c>
      <c r="K180" s="16">
        <f t="shared" si="16"/>
        <v>65576.698202092812</v>
      </c>
    </row>
    <row r="181" spans="6:11">
      <c r="F181">
        <f t="shared" si="17"/>
        <v>179</v>
      </c>
      <c r="G181" s="16">
        <f t="shared" si="14"/>
        <v>65576.698202092812</v>
      </c>
      <c r="H181" s="16">
        <f t="shared" si="12"/>
        <v>822.29402381537159</v>
      </c>
      <c r="I181" s="16">
        <f t="shared" si="13"/>
        <v>491.82523651569608</v>
      </c>
      <c r="J181" s="16">
        <f t="shared" si="15"/>
        <v>330.46878729967551</v>
      </c>
      <c r="K181" s="16">
        <f t="shared" si="16"/>
        <v>65246.229414793139</v>
      </c>
    </row>
    <row r="182" spans="6:11">
      <c r="F182">
        <f t="shared" si="17"/>
        <v>180</v>
      </c>
      <c r="G182" s="16">
        <f t="shared" si="14"/>
        <v>65246.229414793139</v>
      </c>
      <c r="H182" s="16">
        <f t="shared" si="12"/>
        <v>822.29402381537159</v>
      </c>
      <c r="I182" s="16">
        <f t="shared" si="13"/>
        <v>489.34672061094852</v>
      </c>
      <c r="J182" s="16">
        <f t="shared" si="15"/>
        <v>332.94730320442306</v>
      </c>
      <c r="K182" s="16">
        <f t="shared" si="16"/>
        <v>64913.282111588713</v>
      </c>
    </row>
    <row r="183" spans="6:11">
      <c r="F183">
        <f t="shared" si="17"/>
        <v>181</v>
      </c>
      <c r="G183" s="16">
        <f t="shared" si="14"/>
        <v>64913.282111588713</v>
      </c>
      <c r="H183" s="16">
        <f t="shared" si="12"/>
        <v>822.29402381537159</v>
      </c>
      <c r="I183" s="16">
        <f t="shared" si="13"/>
        <v>486.84961583691535</v>
      </c>
      <c r="J183" s="16">
        <f t="shared" si="15"/>
        <v>335.44440797845624</v>
      </c>
      <c r="K183" s="16">
        <f t="shared" si="16"/>
        <v>64577.837703610254</v>
      </c>
    </row>
    <row r="184" spans="6:11">
      <c r="F184">
        <f t="shared" si="17"/>
        <v>182</v>
      </c>
      <c r="G184" s="16">
        <f t="shared" si="14"/>
        <v>64577.837703610254</v>
      </c>
      <c r="H184" s="16">
        <f t="shared" si="12"/>
        <v>822.29402381537159</v>
      </c>
      <c r="I184" s="16">
        <f t="shared" si="13"/>
        <v>484.33378277707686</v>
      </c>
      <c r="J184" s="16">
        <f t="shared" si="15"/>
        <v>337.96024103829473</v>
      </c>
      <c r="K184" s="16">
        <f t="shared" si="16"/>
        <v>64239.87746257196</v>
      </c>
    </row>
    <row r="185" spans="6:11">
      <c r="F185">
        <f t="shared" si="17"/>
        <v>183</v>
      </c>
      <c r="G185" s="16">
        <f t="shared" si="14"/>
        <v>64239.87746257196</v>
      </c>
      <c r="H185" s="16">
        <f t="shared" si="12"/>
        <v>822.29402381537159</v>
      </c>
      <c r="I185" s="16">
        <f t="shared" si="13"/>
        <v>481.79908096928966</v>
      </c>
      <c r="J185" s="16">
        <f t="shared" si="15"/>
        <v>340.49494284608193</v>
      </c>
      <c r="K185" s="16">
        <f t="shared" si="16"/>
        <v>63899.382519725878</v>
      </c>
    </row>
    <row r="186" spans="6:11">
      <c r="F186">
        <f t="shared" si="17"/>
        <v>184</v>
      </c>
      <c r="G186" s="16">
        <f t="shared" si="14"/>
        <v>63899.382519725878</v>
      </c>
      <c r="H186" s="16">
        <f t="shared" si="12"/>
        <v>822.29402381537159</v>
      </c>
      <c r="I186" s="16">
        <f t="shared" si="13"/>
        <v>479.24536889794405</v>
      </c>
      <c r="J186" s="16">
        <f t="shared" si="15"/>
        <v>343.04865491742754</v>
      </c>
      <c r="K186" s="16">
        <f t="shared" si="16"/>
        <v>63556.333864808446</v>
      </c>
    </row>
    <row r="187" spans="6:11">
      <c r="F187">
        <f t="shared" si="17"/>
        <v>185</v>
      </c>
      <c r="G187" s="16">
        <f t="shared" si="14"/>
        <v>63556.333864808446</v>
      </c>
      <c r="H187" s="16">
        <f t="shared" si="12"/>
        <v>822.29402381537159</v>
      </c>
      <c r="I187" s="16">
        <f t="shared" si="13"/>
        <v>476.6725039860633</v>
      </c>
      <c r="J187" s="16">
        <f t="shared" si="15"/>
        <v>345.62151982930828</v>
      </c>
      <c r="K187" s="16">
        <f t="shared" si="16"/>
        <v>63210.71234497914</v>
      </c>
    </row>
    <row r="188" spans="6:11">
      <c r="F188">
        <f t="shared" si="17"/>
        <v>186</v>
      </c>
      <c r="G188" s="16">
        <f t="shared" si="14"/>
        <v>63210.71234497914</v>
      </c>
      <c r="H188" s="16">
        <f t="shared" si="12"/>
        <v>822.29402381537159</v>
      </c>
      <c r="I188" s="16">
        <f t="shared" si="13"/>
        <v>474.08034258734352</v>
      </c>
      <c r="J188" s="16">
        <f t="shared" si="15"/>
        <v>348.21368122802807</v>
      </c>
      <c r="K188" s="16">
        <f t="shared" si="16"/>
        <v>62862.49866375111</v>
      </c>
    </row>
    <row r="189" spans="6:11">
      <c r="F189">
        <f t="shared" si="17"/>
        <v>187</v>
      </c>
      <c r="G189" s="16">
        <f t="shared" si="14"/>
        <v>62862.49866375111</v>
      </c>
      <c r="H189" s="16">
        <f t="shared" si="12"/>
        <v>822.29402381537159</v>
      </c>
      <c r="I189" s="16">
        <f t="shared" si="13"/>
        <v>471.46873997813333</v>
      </c>
      <c r="J189" s="16">
        <f t="shared" si="15"/>
        <v>350.82528383723826</v>
      </c>
      <c r="K189" s="16">
        <f t="shared" si="16"/>
        <v>62511.673379913875</v>
      </c>
    </row>
    <row r="190" spans="6:11">
      <c r="F190">
        <f t="shared" si="17"/>
        <v>188</v>
      </c>
      <c r="G190" s="16">
        <f t="shared" si="14"/>
        <v>62511.673379913875</v>
      </c>
      <c r="H190" s="16">
        <f t="shared" si="12"/>
        <v>822.29402381537159</v>
      </c>
      <c r="I190" s="16">
        <f t="shared" si="13"/>
        <v>468.83755034935405</v>
      </c>
      <c r="J190" s="16">
        <f t="shared" si="15"/>
        <v>353.45647346601754</v>
      </c>
      <c r="K190" s="16">
        <f t="shared" si="16"/>
        <v>62158.216906447858</v>
      </c>
    </row>
    <row r="191" spans="6:11">
      <c r="F191">
        <f t="shared" si="17"/>
        <v>189</v>
      </c>
      <c r="G191" s="16">
        <f t="shared" si="14"/>
        <v>62158.216906447858</v>
      </c>
      <c r="H191" s="16">
        <f t="shared" si="12"/>
        <v>822.29402381537159</v>
      </c>
      <c r="I191" s="16">
        <f t="shared" si="13"/>
        <v>466.18662679835893</v>
      </c>
      <c r="J191" s="16">
        <f t="shared" si="15"/>
        <v>356.10739701701266</v>
      </c>
      <c r="K191" s="16">
        <f t="shared" si="16"/>
        <v>61802.109509430848</v>
      </c>
    </row>
    <row r="192" spans="6:11">
      <c r="F192">
        <f t="shared" si="17"/>
        <v>190</v>
      </c>
      <c r="G192" s="16">
        <f t="shared" si="14"/>
        <v>61802.109509430848</v>
      </c>
      <c r="H192" s="16">
        <f t="shared" ref="H192:H255" si="18">$C$15</f>
        <v>822.29402381537159</v>
      </c>
      <c r="I192" s="16">
        <f t="shared" ref="I192:I255" si="19">G192*$C$13</f>
        <v>463.51582132073133</v>
      </c>
      <c r="J192" s="16">
        <f t="shared" si="15"/>
        <v>358.77820249464025</v>
      </c>
      <c r="K192" s="16">
        <f t="shared" si="16"/>
        <v>61443.331306936205</v>
      </c>
    </row>
    <row r="193" spans="6:11">
      <c r="F193">
        <f t="shared" si="17"/>
        <v>191</v>
      </c>
      <c r="G193" s="16">
        <f t="shared" si="14"/>
        <v>61443.331306936205</v>
      </c>
      <c r="H193" s="16">
        <f t="shared" si="18"/>
        <v>822.29402381537159</v>
      </c>
      <c r="I193" s="16">
        <f t="shared" si="19"/>
        <v>460.8249848020215</v>
      </c>
      <c r="J193" s="16">
        <f t="shared" si="15"/>
        <v>361.46903901335008</v>
      </c>
      <c r="K193" s="16">
        <f t="shared" si="16"/>
        <v>61081.862267922857</v>
      </c>
    </row>
    <row r="194" spans="6:11">
      <c r="F194">
        <f t="shared" si="17"/>
        <v>192</v>
      </c>
      <c r="G194" s="16">
        <f t="shared" si="14"/>
        <v>61081.862267922857</v>
      </c>
      <c r="H194" s="16">
        <f t="shared" si="18"/>
        <v>822.29402381537159</v>
      </c>
      <c r="I194" s="16">
        <f t="shared" si="19"/>
        <v>458.1139670094214</v>
      </c>
      <c r="J194" s="16">
        <f t="shared" si="15"/>
        <v>364.18005680595019</v>
      </c>
      <c r="K194" s="16">
        <f t="shared" si="16"/>
        <v>60717.682211116909</v>
      </c>
    </row>
    <row r="195" spans="6:11">
      <c r="F195">
        <f t="shared" si="17"/>
        <v>193</v>
      </c>
      <c r="G195" s="16">
        <f t="shared" si="14"/>
        <v>60717.682211116909</v>
      </c>
      <c r="H195" s="16">
        <f t="shared" si="18"/>
        <v>822.29402381537159</v>
      </c>
      <c r="I195" s="16">
        <f t="shared" si="19"/>
        <v>455.38261658337683</v>
      </c>
      <c r="J195" s="16">
        <f t="shared" si="15"/>
        <v>366.91140723199476</v>
      </c>
      <c r="K195" s="16">
        <f t="shared" si="16"/>
        <v>60350.770803884916</v>
      </c>
    </row>
    <row r="196" spans="6:11">
      <c r="F196">
        <f t="shared" si="17"/>
        <v>194</v>
      </c>
      <c r="G196" s="16">
        <f t="shared" ref="G196:G259" si="20">K195</f>
        <v>60350.770803884916</v>
      </c>
      <c r="H196" s="16">
        <f t="shared" si="18"/>
        <v>822.29402381537159</v>
      </c>
      <c r="I196" s="16">
        <f t="shared" si="19"/>
        <v>452.63078102913687</v>
      </c>
      <c r="J196" s="16">
        <f t="shared" ref="J196:J259" si="21">H196-I196</f>
        <v>369.66324278623472</v>
      </c>
      <c r="K196" s="16">
        <f t="shared" ref="K196:K259" si="22">G196-J196</f>
        <v>59981.107561098681</v>
      </c>
    </row>
    <row r="197" spans="6:11">
      <c r="F197">
        <f t="shared" ref="F197:F260" si="23">1+F196</f>
        <v>195</v>
      </c>
      <c r="G197" s="16">
        <f t="shared" si="20"/>
        <v>59981.107561098681</v>
      </c>
      <c r="H197" s="16">
        <f t="shared" si="18"/>
        <v>822.29402381537159</v>
      </c>
      <c r="I197" s="16">
        <f t="shared" si="19"/>
        <v>449.85830670824009</v>
      </c>
      <c r="J197" s="16">
        <f t="shared" si="21"/>
        <v>372.4357171071315</v>
      </c>
      <c r="K197" s="16">
        <f t="shared" si="22"/>
        <v>59608.671843991549</v>
      </c>
    </row>
    <row r="198" spans="6:11">
      <c r="F198">
        <f t="shared" si="23"/>
        <v>196</v>
      </c>
      <c r="G198" s="16">
        <f t="shared" si="20"/>
        <v>59608.671843991549</v>
      </c>
      <c r="H198" s="16">
        <f t="shared" si="18"/>
        <v>822.29402381537159</v>
      </c>
      <c r="I198" s="16">
        <f t="shared" si="19"/>
        <v>447.06503882993661</v>
      </c>
      <c r="J198" s="16">
        <f t="shared" si="21"/>
        <v>375.22898498543498</v>
      </c>
      <c r="K198" s="16">
        <f t="shared" si="22"/>
        <v>59233.442859006114</v>
      </c>
    </row>
    <row r="199" spans="6:11">
      <c r="F199">
        <f t="shared" si="23"/>
        <v>197</v>
      </c>
      <c r="G199" s="16">
        <f t="shared" si="20"/>
        <v>59233.442859006114</v>
      </c>
      <c r="H199" s="16">
        <f t="shared" si="18"/>
        <v>822.29402381537159</v>
      </c>
      <c r="I199" s="16">
        <f t="shared" si="19"/>
        <v>444.25082144254583</v>
      </c>
      <c r="J199" s="16">
        <f t="shared" si="21"/>
        <v>378.04320237282576</v>
      </c>
      <c r="K199" s="16">
        <f t="shared" si="22"/>
        <v>58855.399656633286</v>
      </c>
    </row>
    <row r="200" spans="6:11">
      <c r="F200">
        <f t="shared" si="23"/>
        <v>198</v>
      </c>
      <c r="G200" s="16">
        <f t="shared" si="20"/>
        <v>58855.399656633286</v>
      </c>
      <c r="H200" s="16">
        <f t="shared" si="18"/>
        <v>822.29402381537159</v>
      </c>
      <c r="I200" s="16">
        <f t="shared" si="19"/>
        <v>441.41549742474962</v>
      </c>
      <c r="J200" s="16">
        <f t="shared" si="21"/>
        <v>380.87852639062197</v>
      </c>
      <c r="K200" s="16">
        <f t="shared" si="22"/>
        <v>58474.521130242661</v>
      </c>
    </row>
    <row r="201" spans="6:11">
      <c r="F201">
        <f t="shared" si="23"/>
        <v>199</v>
      </c>
      <c r="G201" s="16">
        <f t="shared" si="20"/>
        <v>58474.521130242661</v>
      </c>
      <c r="H201" s="16">
        <f t="shared" si="18"/>
        <v>822.29402381537159</v>
      </c>
      <c r="I201" s="16">
        <f t="shared" si="19"/>
        <v>438.55890847681997</v>
      </c>
      <c r="J201" s="16">
        <f t="shared" si="21"/>
        <v>383.73511533855162</v>
      </c>
      <c r="K201" s="16">
        <f t="shared" si="22"/>
        <v>58090.786014904108</v>
      </c>
    </row>
    <row r="202" spans="6:11">
      <c r="F202">
        <f t="shared" si="23"/>
        <v>200</v>
      </c>
      <c r="G202" s="16">
        <f t="shared" si="20"/>
        <v>58090.786014904108</v>
      </c>
      <c r="H202" s="16">
        <f t="shared" si="18"/>
        <v>822.29402381537159</v>
      </c>
      <c r="I202" s="16">
        <f t="shared" si="19"/>
        <v>435.68089511178079</v>
      </c>
      <c r="J202" s="16">
        <f t="shared" si="21"/>
        <v>386.6131287035908</v>
      </c>
      <c r="K202" s="16">
        <f t="shared" si="22"/>
        <v>57704.172886200518</v>
      </c>
    </row>
    <row r="203" spans="6:11">
      <c r="F203">
        <f t="shared" si="23"/>
        <v>201</v>
      </c>
      <c r="G203" s="16">
        <f t="shared" si="20"/>
        <v>57704.172886200518</v>
      </c>
      <c r="H203" s="16">
        <f t="shared" si="18"/>
        <v>822.29402381537159</v>
      </c>
      <c r="I203" s="16">
        <f t="shared" si="19"/>
        <v>432.78129664650385</v>
      </c>
      <c r="J203" s="16">
        <f t="shared" si="21"/>
        <v>389.51272716886774</v>
      </c>
      <c r="K203" s="16">
        <f t="shared" si="22"/>
        <v>57314.66015903165</v>
      </c>
    </row>
    <row r="204" spans="6:11">
      <c r="F204">
        <f t="shared" si="23"/>
        <v>202</v>
      </c>
      <c r="G204" s="16">
        <f t="shared" si="20"/>
        <v>57314.66015903165</v>
      </c>
      <c r="H204" s="16">
        <f t="shared" si="18"/>
        <v>822.29402381537159</v>
      </c>
      <c r="I204" s="16">
        <f t="shared" si="19"/>
        <v>429.85995119273736</v>
      </c>
      <c r="J204" s="16">
        <f t="shared" si="21"/>
        <v>392.43407262263423</v>
      </c>
      <c r="K204" s="16">
        <f t="shared" si="22"/>
        <v>56922.226086409013</v>
      </c>
    </row>
    <row r="205" spans="6:11">
      <c r="F205">
        <f t="shared" si="23"/>
        <v>203</v>
      </c>
      <c r="G205" s="16">
        <f t="shared" si="20"/>
        <v>56922.226086409013</v>
      </c>
      <c r="H205" s="16">
        <f t="shared" si="18"/>
        <v>822.29402381537159</v>
      </c>
      <c r="I205" s="16">
        <f t="shared" si="19"/>
        <v>426.91669564806756</v>
      </c>
      <c r="J205" s="16">
        <f t="shared" si="21"/>
        <v>395.37732816730403</v>
      </c>
      <c r="K205" s="16">
        <f t="shared" si="22"/>
        <v>56526.848758241707</v>
      </c>
    </row>
    <row r="206" spans="6:11">
      <c r="F206">
        <f t="shared" si="23"/>
        <v>204</v>
      </c>
      <c r="G206" s="16">
        <f t="shared" si="20"/>
        <v>56526.848758241707</v>
      </c>
      <c r="H206" s="16">
        <f t="shared" si="18"/>
        <v>822.29402381537159</v>
      </c>
      <c r="I206" s="16">
        <f t="shared" si="19"/>
        <v>423.95136568681278</v>
      </c>
      <c r="J206" s="16">
        <f t="shared" si="21"/>
        <v>398.34265812855881</v>
      </c>
      <c r="K206" s="16">
        <f t="shared" si="22"/>
        <v>56128.506100113147</v>
      </c>
    </row>
    <row r="207" spans="6:11">
      <c r="F207">
        <f t="shared" si="23"/>
        <v>205</v>
      </c>
      <c r="G207" s="16">
        <f t="shared" si="20"/>
        <v>56128.506100113147</v>
      </c>
      <c r="H207" s="16">
        <f t="shared" si="18"/>
        <v>822.29402381537159</v>
      </c>
      <c r="I207" s="16">
        <f t="shared" si="19"/>
        <v>420.96379575084859</v>
      </c>
      <c r="J207" s="16">
        <f t="shared" si="21"/>
        <v>401.330228064523</v>
      </c>
      <c r="K207" s="16">
        <f t="shared" si="22"/>
        <v>55727.175872048625</v>
      </c>
    </row>
    <row r="208" spans="6:11">
      <c r="F208">
        <f t="shared" si="23"/>
        <v>206</v>
      </c>
      <c r="G208" s="16">
        <f t="shared" si="20"/>
        <v>55727.175872048625</v>
      </c>
      <c r="H208" s="16">
        <f t="shared" si="18"/>
        <v>822.29402381537159</v>
      </c>
      <c r="I208" s="16">
        <f t="shared" si="19"/>
        <v>417.95381904036469</v>
      </c>
      <c r="J208" s="16">
        <f t="shared" si="21"/>
        <v>404.3402047750069</v>
      </c>
      <c r="K208" s="16">
        <f t="shared" si="22"/>
        <v>55322.835667273619</v>
      </c>
    </row>
    <row r="209" spans="6:11">
      <c r="F209">
        <f t="shared" si="23"/>
        <v>207</v>
      </c>
      <c r="G209" s="16">
        <f t="shared" si="20"/>
        <v>55322.835667273619</v>
      </c>
      <c r="H209" s="16">
        <f t="shared" si="18"/>
        <v>822.29402381537159</v>
      </c>
      <c r="I209" s="16">
        <f t="shared" si="19"/>
        <v>414.92126750455213</v>
      </c>
      <c r="J209" s="16">
        <f t="shared" si="21"/>
        <v>407.37275631081945</v>
      </c>
      <c r="K209" s="16">
        <f t="shared" si="22"/>
        <v>54915.4629109628</v>
      </c>
    </row>
    <row r="210" spans="6:11">
      <c r="F210">
        <f t="shared" si="23"/>
        <v>208</v>
      </c>
      <c r="G210" s="16">
        <f t="shared" si="20"/>
        <v>54915.4629109628</v>
      </c>
      <c r="H210" s="16">
        <f t="shared" si="18"/>
        <v>822.29402381537159</v>
      </c>
      <c r="I210" s="16">
        <f t="shared" si="19"/>
        <v>411.86597183222096</v>
      </c>
      <c r="J210" s="16">
        <f t="shared" si="21"/>
        <v>410.42805198315062</v>
      </c>
      <c r="K210" s="16">
        <f t="shared" si="22"/>
        <v>54505.034858979649</v>
      </c>
    </row>
    <row r="211" spans="6:11">
      <c r="F211">
        <f t="shared" si="23"/>
        <v>209</v>
      </c>
      <c r="G211" s="16">
        <f t="shared" si="20"/>
        <v>54505.034858979649</v>
      </c>
      <c r="H211" s="16">
        <f t="shared" si="18"/>
        <v>822.29402381537159</v>
      </c>
      <c r="I211" s="16">
        <f t="shared" si="19"/>
        <v>408.78776144234735</v>
      </c>
      <c r="J211" s="16">
        <f t="shared" si="21"/>
        <v>413.50626237302424</v>
      </c>
      <c r="K211" s="16">
        <f t="shared" si="22"/>
        <v>54091.528596606622</v>
      </c>
    </row>
    <row r="212" spans="6:11">
      <c r="F212">
        <f t="shared" si="23"/>
        <v>210</v>
      </c>
      <c r="G212" s="16">
        <f t="shared" si="20"/>
        <v>54091.528596606622</v>
      </c>
      <c r="H212" s="16">
        <f t="shared" si="18"/>
        <v>822.29402381537159</v>
      </c>
      <c r="I212" s="16">
        <f t="shared" si="19"/>
        <v>405.68646447454967</v>
      </c>
      <c r="J212" s="16">
        <f t="shared" si="21"/>
        <v>416.60755934082192</v>
      </c>
      <c r="K212" s="16">
        <f t="shared" si="22"/>
        <v>53674.921037265798</v>
      </c>
    </row>
    <row r="213" spans="6:11">
      <c r="F213">
        <f t="shared" si="23"/>
        <v>211</v>
      </c>
      <c r="G213" s="16">
        <f t="shared" si="20"/>
        <v>53674.921037265798</v>
      </c>
      <c r="H213" s="16">
        <f t="shared" si="18"/>
        <v>822.29402381537159</v>
      </c>
      <c r="I213" s="16">
        <f t="shared" si="19"/>
        <v>402.56190777949348</v>
      </c>
      <c r="J213" s="16">
        <f t="shared" si="21"/>
        <v>419.73211603587811</v>
      </c>
      <c r="K213" s="16">
        <f t="shared" si="22"/>
        <v>53255.188921229921</v>
      </c>
    </row>
    <row r="214" spans="6:11">
      <c r="F214">
        <f t="shared" si="23"/>
        <v>212</v>
      </c>
      <c r="G214" s="16">
        <f t="shared" si="20"/>
        <v>53255.188921229921</v>
      </c>
      <c r="H214" s="16">
        <f t="shared" si="18"/>
        <v>822.29402381537159</v>
      </c>
      <c r="I214" s="16">
        <f t="shared" si="19"/>
        <v>399.41391690922438</v>
      </c>
      <c r="J214" s="16">
        <f t="shared" si="21"/>
        <v>422.8801069061472</v>
      </c>
      <c r="K214" s="16">
        <f t="shared" si="22"/>
        <v>52832.308814323776</v>
      </c>
    </row>
    <row r="215" spans="6:11">
      <c r="F215">
        <f t="shared" si="23"/>
        <v>213</v>
      </c>
      <c r="G215" s="16">
        <f t="shared" si="20"/>
        <v>52832.308814323776</v>
      </c>
      <c r="H215" s="16">
        <f t="shared" si="18"/>
        <v>822.29402381537159</v>
      </c>
      <c r="I215" s="16">
        <f t="shared" si="19"/>
        <v>396.24231610742834</v>
      </c>
      <c r="J215" s="16">
        <f t="shared" si="21"/>
        <v>426.05170770794325</v>
      </c>
      <c r="K215" s="16">
        <f t="shared" si="22"/>
        <v>52406.257106615834</v>
      </c>
    </row>
    <row r="216" spans="6:11">
      <c r="F216">
        <f t="shared" si="23"/>
        <v>214</v>
      </c>
      <c r="G216" s="16">
        <f t="shared" si="20"/>
        <v>52406.257106615834</v>
      </c>
      <c r="H216" s="16">
        <f t="shared" si="18"/>
        <v>822.29402381537159</v>
      </c>
      <c r="I216" s="16">
        <f t="shared" si="19"/>
        <v>393.04692829961874</v>
      </c>
      <c r="J216" s="16">
        <f t="shared" si="21"/>
        <v>429.24709551575285</v>
      </c>
      <c r="K216" s="16">
        <f t="shared" si="22"/>
        <v>51977.010011100079</v>
      </c>
    </row>
    <row r="217" spans="6:11">
      <c r="F217">
        <f t="shared" si="23"/>
        <v>215</v>
      </c>
      <c r="G217" s="16">
        <f t="shared" si="20"/>
        <v>51977.010011100079</v>
      </c>
      <c r="H217" s="16">
        <f t="shared" si="18"/>
        <v>822.29402381537159</v>
      </c>
      <c r="I217" s="16">
        <f t="shared" si="19"/>
        <v>389.82757508325057</v>
      </c>
      <c r="J217" s="16">
        <f t="shared" si="21"/>
        <v>432.46644873212102</v>
      </c>
      <c r="K217" s="16">
        <f t="shared" si="22"/>
        <v>51544.543562367959</v>
      </c>
    </row>
    <row r="218" spans="6:11">
      <c r="F218">
        <f t="shared" si="23"/>
        <v>216</v>
      </c>
      <c r="G218" s="16">
        <f t="shared" si="20"/>
        <v>51544.543562367959</v>
      </c>
      <c r="H218" s="16">
        <f t="shared" si="18"/>
        <v>822.29402381537159</v>
      </c>
      <c r="I218" s="16">
        <f t="shared" si="19"/>
        <v>386.58407671775967</v>
      </c>
      <c r="J218" s="16">
        <f t="shared" si="21"/>
        <v>435.70994709761192</v>
      </c>
      <c r="K218" s="16">
        <f t="shared" si="22"/>
        <v>51108.833615270349</v>
      </c>
    </row>
    <row r="219" spans="6:11">
      <c r="F219">
        <f t="shared" si="23"/>
        <v>217</v>
      </c>
      <c r="G219" s="16">
        <f t="shared" si="20"/>
        <v>51108.833615270349</v>
      </c>
      <c r="H219" s="16">
        <f t="shared" si="18"/>
        <v>822.29402381537159</v>
      </c>
      <c r="I219" s="16">
        <f t="shared" si="19"/>
        <v>383.31625211452763</v>
      </c>
      <c r="J219" s="16">
        <f t="shared" si="21"/>
        <v>438.97777170084396</v>
      </c>
      <c r="K219" s="16">
        <f t="shared" si="22"/>
        <v>50669.855843569501</v>
      </c>
    </row>
    <row r="220" spans="6:11">
      <c r="F220">
        <f t="shared" si="23"/>
        <v>218</v>
      </c>
      <c r="G220" s="16">
        <f t="shared" si="20"/>
        <v>50669.855843569501</v>
      </c>
      <c r="H220" s="16">
        <f t="shared" si="18"/>
        <v>822.29402381537159</v>
      </c>
      <c r="I220" s="16">
        <f t="shared" si="19"/>
        <v>380.02391882677125</v>
      </c>
      <c r="J220" s="16">
        <f t="shared" si="21"/>
        <v>442.27010498860034</v>
      </c>
      <c r="K220" s="16">
        <f t="shared" si="22"/>
        <v>50227.585738580899</v>
      </c>
    </row>
    <row r="221" spans="6:11">
      <c r="F221">
        <f t="shared" si="23"/>
        <v>219</v>
      </c>
      <c r="G221" s="16">
        <f t="shared" si="20"/>
        <v>50227.585738580899</v>
      </c>
      <c r="H221" s="16">
        <f t="shared" si="18"/>
        <v>822.29402381537159</v>
      </c>
      <c r="I221" s="16">
        <f t="shared" si="19"/>
        <v>376.70689303935671</v>
      </c>
      <c r="J221" s="16">
        <f t="shared" si="21"/>
        <v>445.58713077601487</v>
      </c>
      <c r="K221" s="16">
        <f t="shared" si="22"/>
        <v>49781.998607804882</v>
      </c>
    </row>
    <row r="222" spans="6:11">
      <c r="F222">
        <f t="shared" si="23"/>
        <v>220</v>
      </c>
      <c r="G222" s="16">
        <f t="shared" si="20"/>
        <v>49781.998607804882</v>
      </c>
      <c r="H222" s="16">
        <f t="shared" si="18"/>
        <v>822.29402381537159</v>
      </c>
      <c r="I222" s="16">
        <f t="shared" si="19"/>
        <v>373.36498955853659</v>
      </c>
      <c r="J222" s="16">
        <f t="shared" si="21"/>
        <v>448.929034256835</v>
      </c>
      <c r="K222" s="16">
        <f t="shared" si="22"/>
        <v>49333.069573548048</v>
      </c>
    </row>
    <row r="223" spans="6:11">
      <c r="F223">
        <f t="shared" si="23"/>
        <v>221</v>
      </c>
      <c r="G223" s="16">
        <f t="shared" si="20"/>
        <v>49333.069573548048</v>
      </c>
      <c r="H223" s="16">
        <f t="shared" si="18"/>
        <v>822.29402381537159</v>
      </c>
      <c r="I223" s="16">
        <f t="shared" si="19"/>
        <v>369.99802180161032</v>
      </c>
      <c r="J223" s="16">
        <f t="shared" si="21"/>
        <v>452.29600201376127</v>
      </c>
      <c r="K223" s="16">
        <f t="shared" si="22"/>
        <v>48880.773571534286</v>
      </c>
    </row>
    <row r="224" spans="6:11">
      <c r="F224">
        <f t="shared" si="23"/>
        <v>222</v>
      </c>
      <c r="G224" s="16">
        <f t="shared" si="20"/>
        <v>48880.773571534286</v>
      </c>
      <c r="H224" s="16">
        <f t="shared" si="18"/>
        <v>822.29402381537159</v>
      </c>
      <c r="I224" s="16">
        <f t="shared" si="19"/>
        <v>366.60580178650713</v>
      </c>
      <c r="J224" s="16">
        <f t="shared" si="21"/>
        <v>455.68822202886446</v>
      </c>
      <c r="K224" s="16">
        <f t="shared" si="22"/>
        <v>48425.085349505418</v>
      </c>
    </row>
    <row r="225" spans="6:11">
      <c r="F225">
        <f t="shared" si="23"/>
        <v>223</v>
      </c>
      <c r="G225" s="16">
        <f t="shared" si="20"/>
        <v>48425.085349505418</v>
      </c>
      <c r="H225" s="16">
        <f t="shared" si="18"/>
        <v>822.29402381537159</v>
      </c>
      <c r="I225" s="16">
        <f t="shared" si="19"/>
        <v>363.18814012129064</v>
      </c>
      <c r="J225" s="16">
        <f t="shared" si="21"/>
        <v>459.10588369408094</v>
      </c>
      <c r="K225" s="16">
        <f t="shared" si="22"/>
        <v>47965.979465811339</v>
      </c>
    </row>
    <row r="226" spans="6:11">
      <c r="F226">
        <f t="shared" si="23"/>
        <v>224</v>
      </c>
      <c r="G226" s="16">
        <f t="shared" si="20"/>
        <v>47965.979465811339</v>
      </c>
      <c r="H226" s="16">
        <f t="shared" si="18"/>
        <v>822.29402381537159</v>
      </c>
      <c r="I226" s="16">
        <f t="shared" si="19"/>
        <v>359.74484599358505</v>
      </c>
      <c r="J226" s="16">
        <f t="shared" si="21"/>
        <v>462.54917782178654</v>
      </c>
      <c r="K226" s="16">
        <f t="shared" si="22"/>
        <v>47503.430287989555</v>
      </c>
    </row>
    <row r="227" spans="6:11">
      <c r="F227">
        <f t="shared" si="23"/>
        <v>225</v>
      </c>
      <c r="G227" s="16">
        <f t="shared" si="20"/>
        <v>47503.430287989555</v>
      </c>
      <c r="H227" s="16">
        <f t="shared" si="18"/>
        <v>822.29402381537159</v>
      </c>
      <c r="I227" s="16">
        <f t="shared" si="19"/>
        <v>356.27572715992164</v>
      </c>
      <c r="J227" s="16">
        <f t="shared" si="21"/>
        <v>466.01829665544994</v>
      </c>
      <c r="K227" s="16">
        <f t="shared" si="22"/>
        <v>47037.411991334106</v>
      </c>
    </row>
    <row r="228" spans="6:11">
      <c r="F228">
        <f t="shared" si="23"/>
        <v>226</v>
      </c>
      <c r="G228" s="16">
        <f t="shared" si="20"/>
        <v>47037.411991334106</v>
      </c>
      <c r="H228" s="16">
        <f t="shared" si="18"/>
        <v>822.29402381537159</v>
      </c>
      <c r="I228" s="16">
        <f t="shared" si="19"/>
        <v>352.78058993500576</v>
      </c>
      <c r="J228" s="16">
        <f t="shared" si="21"/>
        <v>469.51343388036582</v>
      </c>
      <c r="K228" s="16">
        <f t="shared" si="22"/>
        <v>46567.898557453736</v>
      </c>
    </row>
    <row r="229" spans="6:11">
      <c r="F229">
        <f t="shared" si="23"/>
        <v>227</v>
      </c>
      <c r="G229" s="16">
        <f t="shared" si="20"/>
        <v>46567.898557453736</v>
      </c>
      <c r="H229" s="16">
        <f t="shared" si="18"/>
        <v>822.29402381537159</v>
      </c>
      <c r="I229" s="16">
        <f t="shared" si="19"/>
        <v>349.25923918090302</v>
      </c>
      <c r="J229" s="16">
        <f t="shared" si="21"/>
        <v>473.03478463446856</v>
      </c>
      <c r="K229" s="16">
        <f t="shared" si="22"/>
        <v>46094.86377281927</v>
      </c>
    </row>
    <row r="230" spans="6:11">
      <c r="F230">
        <f t="shared" si="23"/>
        <v>228</v>
      </c>
      <c r="G230" s="16">
        <f t="shared" si="20"/>
        <v>46094.86377281927</v>
      </c>
      <c r="H230" s="16">
        <f t="shared" si="18"/>
        <v>822.29402381537159</v>
      </c>
      <c r="I230" s="16">
        <f t="shared" si="19"/>
        <v>345.71147829614449</v>
      </c>
      <c r="J230" s="16">
        <f t="shared" si="21"/>
        <v>476.5825455192271</v>
      </c>
      <c r="K230" s="16">
        <f t="shared" si="22"/>
        <v>45618.281227300045</v>
      </c>
    </row>
    <row r="231" spans="6:11">
      <c r="F231">
        <f t="shared" si="23"/>
        <v>229</v>
      </c>
      <c r="G231" s="16">
        <f t="shared" si="20"/>
        <v>45618.281227300045</v>
      </c>
      <c r="H231" s="16">
        <f t="shared" si="18"/>
        <v>822.29402381537159</v>
      </c>
      <c r="I231" s="16">
        <f t="shared" si="19"/>
        <v>342.13710920475035</v>
      </c>
      <c r="J231" s="16">
        <f t="shared" si="21"/>
        <v>480.15691461062124</v>
      </c>
      <c r="K231" s="16">
        <f t="shared" si="22"/>
        <v>45138.124312689426</v>
      </c>
    </row>
    <row r="232" spans="6:11">
      <c r="F232">
        <f t="shared" si="23"/>
        <v>230</v>
      </c>
      <c r="G232" s="16">
        <f t="shared" si="20"/>
        <v>45138.124312689426</v>
      </c>
      <c r="H232" s="16">
        <f t="shared" si="18"/>
        <v>822.29402381537159</v>
      </c>
      <c r="I232" s="16">
        <f t="shared" si="19"/>
        <v>338.53593234517069</v>
      </c>
      <c r="J232" s="16">
        <f t="shared" si="21"/>
        <v>483.7580914702009</v>
      </c>
      <c r="K232" s="16">
        <f t="shared" si="22"/>
        <v>44654.366221219228</v>
      </c>
    </row>
    <row r="233" spans="6:11">
      <c r="F233">
        <f t="shared" si="23"/>
        <v>231</v>
      </c>
      <c r="G233" s="16">
        <f t="shared" si="20"/>
        <v>44654.366221219228</v>
      </c>
      <c r="H233" s="16">
        <f t="shared" si="18"/>
        <v>822.29402381537159</v>
      </c>
      <c r="I233" s="16">
        <f t="shared" si="19"/>
        <v>334.90774665914421</v>
      </c>
      <c r="J233" s="16">
        <f t="shared" si="21"/>
        <v>487.38627715622738</v>
      </c>
      <c r="K233" s="16">
        <f t="shared" si="22"/>
        <v>44166.979944063001</v>
      </c>
    </row>
    <row r="234" spans="6:11">
      <c r="F234">
        <f t="shared" si="23"/>
        <v>232</v>
      </c>
      <c r="G234" s="16">
        <f t="shared" si="20"/>
        <v>44166.979944063001</v>
      </c>
      <c r="H234" s="16">
        <f t="shared" si="18"/>
        <v>822.29402381537159</v>
      </c>
      <c r="I234" s="16">
        <f t="shared" si="19"/>
        <v>331.25234958047253</v>
      </c>
      <c r="J234" s="16">
        <f t="shared" si="21"/>
        <v>491.04167423489906</v>
      </c>
      <c r="K234" s="16">
        <f t="shared" si="22"/>
        <v>43675.938269828104</v>
      </c>
    </row>
    <row r="235" spans="6:11">
      <c r="F235">
        <f t="shared" si="23"/>
        <v>233</v>
      </c>
      <c r="G235" s="16">
        <f t="shared" si="20"/>
        <v>43675.938269828104</v>
      </c>
      <c r="H235" s="16">
        <f t="shared" si="18"/>
        <v>822.29402381537159</v>
      </c>
      <c r="I235" s="16">
        <f t="shared" si="19"/>
        <v>327.56953702371078</v>
      </c>
      <c r="J235" s="16">
        <f t="shared" si="21"/>
        <v>494.72448679166081</v>
      </c>
      <c r="K235" s="16">
        <f t="shared" si="22"/>
        <v>43181.213783036445</v>
      </c>
    </row>
    <row r="236" spans="6:11">
      <c r="F236">
        <f t="shared" si="23"/>
        <v>234</v>
      </c>
      <c r="G236" s="16">
        <f t="shared" si="20"/>
        <v>43181.213783036445</v>
      </c>
      <c r="H236" s="16">
        <f t="shared" si="18"/>
        <v>822.29402381537159</v>
      </c>
      <c r="I236" s="16">
        <f t="shared" si="19"/>
        <v>323.85910337277335</v>
      </c>
      <c r="J236" s="16">
        <f t="shared" si="21"/>
        <v>498.43492044259824</v>
      </c>
      <c r="K236" s="16">
        <f t="shared" si="22"/>
        <v>42682.778862593848</v>
      </c>
    </row>
    <row r="237" spans="6:11">
      <c r="F237">
        <f t="shared" si="23"/>
        <v>235</v>
      </c>
      <c r="G237" s="16">
        <f t="shared" si="20"/>
        <v>42682.778862593848</v>
      </c>
      <c r="H237" s="16">
        <f t="shared" si="18"/>
        <v>822.29402381537159</v>
      </c>
      <c r="I237" s="16">
        <f t="shared" si="19"/>
        <v>320.12084146945386</v>
      </c>
      <c r="J237" s="16">
        <f t="shared" si="21"/>
        <v>502.17318234591772</v>
      </c>
      <c r="K237" s="16">
        <f t="shared" si="22"/>
        <v>42180.605680247929</v>
      </c>
    </row>
    <row r="238" spans="6:11">
      <c r="F238">
        <f t="shared" si="23"/>
        <v>236</v>
      </c>
      <c r="G238" s="16">
        <f t="shared" si="20"/>
        <v>42180.605680247929</v>
      </c>
      <c r="H238" s="16">
        <f t="shared" si="18"/>
        <v>822.29402381537159</v>
      </c>
      <c r="I238" s="16">
        <f t="shared" si="19"/>
        <v>316.35454260185946</v>
      </c>
      <c r="J238" s="16">
        <f t="shared" si="21"/>
        <v>505.93948121351212</v>
      </c>
      <c r="K238" s="16">
        <f t="shared" si="22"/>
        <v>41674.666199034415</v>
      </c>
    </row>
    <row r="239" spans="6:11">
      <c r="F239">
        <f t="shared" si="23"/>
        <v>237</v>
      </c>
      <c r="G239" s="16">
        <f t="shared" si="20"/>
        <v>41674.666199034415</v>
      </c>
      <c r="H239" s="16">
        <f t="shared" si="18"/>
        <v>822.29402381537159</v>
      </c>
      <c r="I239" s="16">
        <f t="shared" si="19"/>
        <v>312.5599964927581</v>
      </c>
      <c r="J239" s="16">
        <f t="shared" si="21"/>
        <v>509.73402732261349</v>
      </c>
      <c r="K239" s="16">
        <f t="shared" si="22"/>
        <v>41164.9321717118</v>
      </c>
    </row>
    <row r="240" spans="6:11">
      <c r="F240">
        <f t="shared" si="23"/>
        <v>238</v>
      </c>
      <c r="G240" s="16">
        <f t="shared" si="20"/>
        <v>41164.9321717118</v>
      </c>
      <c r="H240" s="16">
        <f t="shared" si="18"/>
        <v>822.29402381537159</v>
      </c>
      <c r="I240" s="16">
        <f t="shared" si="19"/>
        <v>308.73699128783846</v>
      </c>
      <c r="J240" s="16">
        <f t="shared" si="21"/>
        <v>513.55703252753312</v>
      </c>
      <c r="K240" s="16">
        <f t="shared" si="22"/>
        <v>40651.375139184267</v>
      </c>
    </row>
    <row r="241" spans="6:11">
      <c r="F241">
        <f t="shared" si="23"/>
        <v>239</v>
      </c>
      <c r="G241" s="16">
        <f t="shared" si="20"/>
        <v>40651.375139184267</v>
      </c>
      <c r="H241" s="16">
        <f t="shared" si="18"/>
        <v>822.29402381537159</v>
      </c>
      <c r="I241" s="16">
        <f t="shared" si="19"/>
        <v>304.88531354388198</v>
      </c>
      <c r="J241" s="16">
        <f t="shared" si="21"/>
        <v>517.40871027148955</v>
      </c>
      <c r="K241" s="16">
        <f t="shared" si="22"/>
        <v>40133.966428912776</v>
      </c>
    </row>
    <row r="242" spans="6:11">
      <c r="F242">
        <f t="shared" si="23"/>
        <v>240</v>
      </c>
      <c r="G242" s="16">
        <f t="shared" si="20"/>
        <v>40133.966428912776</v>
      </c>
      <c r="H242" s="16">
        <f t="shared" si="18"/>
        <v>822.29402381537159</v>
      </c>
      <c r="I242" s="16">
        <f t="shared" si="19"/>
        <v>301.00474821684583</v>
      </c>
      <c r="J242" s="16">
        <f t="shared" si="21"/>
        <v>521.28927559852582</v>
      </c>
      <c r="K242" s="16">
        <f t="shared" si="22"/>
        <v>39612.677153314253</v>
      </c>
    </row>
    <row r="243" spans="6:11">
      <c r="F243">
        <f t="shared" si="23"/>
        <v>241</v>
      </c>
      <c r="G243" s="16">
        <f t="shared" si="20"/>
        <v>39612.677153314253</v>
      </c>
      <c r="H243" s="16">
        <f t="shared" si="18"/>
        <v>822.29402381537159</v>
      </c>
      <c r="I243" s="16">
        <f t="shared" si="19"/>
        <v>297.09507864985687</v>
      </c>
      <c r="J243" s="16">
        <f t="shared" si="21"/>
        <v>525.19894516551471</v>
      </c>
      <c r="K243" s="16">
        <f t="shared" si="22"/>
        <v>39087.478208148736</v>
      </c>
    </row>
    <row r="244" spans="6:11">
      <c r="F244">
        <f t="shared" si="23"/>
        <v>242</v>
      </c>
      <c r="G244" s="16">
        <f t="shared" si="20"/>
        <v>39087.478208148736</v>
      </c>
      <c r="H244" s="16">
        <f t="shared" si="18"/>
        <v>822.29402381537159</v>
      </c>
      <c r="I244" s="16">
        <f t="shared" si="19"/>
        <v>293.1560865611155</v>
      </c>
      <c r="J244" s="16">
        <f t="shared" si="21"/>
        <v>529.13793725425603</v>
      </c>
      <c r="K244" s="16">
        <f t="shared" si="22"/>
        <v>38558.340270894478</v>
      </c>
    </row>
    <row r="245" spans="6:11">
      <c r="F245">
        <f t="shared" si="23"/>
        <v>243</v>
      </c>
      <c r="G245" s="16">
        <f t="shared" si="20"/>
        <v>38558.340270894478</v>
      </c>
      <c r="H245" s="16">
        <f t="shared" si="18"/>
        <v>822.29402381537159</v>
      </c>
      <c r="I245" s="16">
        <f t="shared" si="19"/>
        <v>289.18755203170855</v>
      </c>
      <c r="J245" s="16">
        <f t="shared" si="21"/>
        <v>533.10647178366298</v>
      </c>
      <c r="K245" s="16">
        <f t="shared" si="22"/>
        <v>38025.233799110814</v>
      </c>
    </row>
    <row r="246" spans="6:11">
      <c r="F246">
        <f t="shared" si="23"/>
        <v>244</v>
      </c>
      <c r="G246" s="16">
        <f t="shared" si="20"/>
        <v>38025.233799110814</v>
      </c>
      <c r="H246" s="16">
        <f t="shared" si="18"/>
        <v>822.29402381537159</v>
      </c>
      <c r="I246" s="16">
        <f t="shared" si="19"/>
        <v>285.18925349333108</v>
      </c>
      <c r="J246" s="16">
        <f t="shared" si="21"/>
        <v>537.10477032204051</v>
      </c>
      <c r="K246" s="16">
        <f t="shared" si="22"/>
        <v>37488.129028788775</v>
      </c>
    </row>
    <row r="247" spans="6:11">
      <c r="F247">
        <f t="shared" si="23"/>
        <v>245</v>
      </c>
      <c r="G247" s="16">
        <f t="shared" si="20"/>
        <v>37488.129028788775</v>
      </c>
      <c r="H247" s="16">
        <f t="shared" si="18"/>
        <v>822.29402381537159</v>
      </c>
      <c r="I247" s="16">
        <f t="shared" si="19"/>
        <v>281.16096771591577</v>
      </c>
      <c r="J247" s="16">
        <f t="shared" si="21"/>
        <v>541.13305609945587</v>
      </c>
      <c r="K247" s="16">
        <f t="shared" si="22"/>
        <v>36946.995972689321</v>
      </c>
    </row>
    <row r="248" spans="6:11">
      <c r="F248">
        <f t="shared" si="23"/>
        <v>246</v>
      </c>
      <c r="G248" s="16">
        <f t="shared" si="20"/>
        <v>36946.995972689321</v>
      </c>
      <c r="H248" s="16">
        <f t="shared" si="18"/>
        <v>822.29402381537159</v>
      </c>
      <c r="I248" s="16">
        <f t="shared" si="19"/>
        <v>277.1024697951699</v>
      </c>
      <c r="J248" s="16">
        <f t="shared" si="21"/>
        <v>545.19155402020169</v>
      </c>
      <c r="K248" s="16">
        <f t="shared" si="22"/>
        <v>36401.804418669119</v>
      </c>
    </row>
    <row r="249" spans="6:11">
      <c r="F249">
        <f t="shared" si="23"/>
        <v>247</v>
      </c>
      <c r="G249" s="16">
        <f t="shared" si="20"/>
        <v>36401.804418669119</v>
      </c>
      <c r="H249" s="16">
        <f t="shared" si="18"/>
        <v>822.29402381537159</v>
      </c>
      <c r="I249" s="16">
        <f t="shared" si="19"/>
        <v>273.01353314001835</v>
      </c>
      <c r="J249" s="16">
        <f t="shared" si="21"/>
        <v>549.28049067535324</v>
      </c>
      <c r="K249" s="16">
        <f t="shared" si="22"/>
        <v>35852.523927993767</v>
      </c>
    </row>
    <row r="250" spans="6:11">
      <c r="F250">
        <f t="shared" si="23"/>
        <v>248</v>
      </c>
      <c r="G250" s="16">
        <f t="shared" si="20"/>
        <v>35852.523927993767</v>
      </c>
      <c r="H250" s="16">
        <f t="shared" si="18"/>
        <v>822.29402381537159</v>
      </c>
      <c r="I250" s="16">
        <f t="shared" si="19"/>
        <v>268.89392945995326</v>
      </c>
      <c r="J250" s="16">
        <f t="shared" si="21"/>
        <v>553.40009435541833</v>
      </c>
      <c r="K250" s="16">
        <f t="shared" si="22"/>
        <v>35299.123833638347</v>
      </c>
    </row>
    <row r="251" spans="6:11">
      <c r="F251">
        <f t="shared" si="23"/>
        <v>249</v>
      </c>
      <c r="G251" s="16">
        <f t="shared" si="20"/>
        <v>35299.123833638347</v>
      </c>
      <c r="H251" s="16">
        <f t="shared" si="18"/>
        <v>822.29402381537159</v>
      </c>
      <c r="I251" s="16">
        <f t="shared" si="19"/>
        <v>264.74342875228757</v>
      </c>
      <c r="J251" s="16">
        <f t="shared" si="21"/>
        <v>557.55059506308407</v>
      </c>
      <c r="K251" s="16">
        <f t="shared" si="22"/>
        <v>34741.573238575264</v>
      </c>
    </row>
    <row r="252" spans="6:11">
      <c r="F252">
        <f t="shared" si="23"/>
        <v>250</v>
      </c>
      <c r="G252" s="16">
        <f t="shared" si="20"/>
        <v>34741.573238575264</v>
      </c>
      <c r="H252" s="16">
        <f t="shared" si="18"/>
        <v>822.29402381537159</v>
      </c>
      <c r="I252" s="16">
        <f t="shared" si="19"/>
        <v>260.56179928931448</v>
      </c>
      <c r="J252" s="16">
        <f t="shared" si="21"/>
        <v>561.73222452605705</v>
      </c>
      <c r="K252" s="16">
        <f t="shared" si="22"/>
        <v>34179.841014049205</v>
      </c>
    </row>
    <row r="253" spans="6:11">
      <c r="F253">
        <f t="shared" si="23"/>
        <v>251</v>
      </c>
      <c r="G253" s="16">
        <f t="shared" si="20"/>
        <v>34179.841014049205</v>
      </c>
      <c r="H253" s="16">
        <f t="shared" si="18"/>
        <v>822.29402381537159</v>
      </c>
      <c r="I253" s="16">
        <f t="shared" si="19"/>
        <v>256.34880760536902</v>
      </c>
      <c r="J253" s="16">
        <f t="shared" si="21"/>
        <v>565.94521621000263</v>
      </c>
      <c r="K253" s="16">
        <f t="shared" si="22"/>
        <v>33613.895797839199</v>
      </c>
    </row>
    <row r="254" spans="6:11">
      <c r="F254">
        <f t="shared" si="23"/>
        <v>252</v>
      </c>
      <c r="G254" s="16">
        <f t="shared" si="20"/>
        <v>33613.895797839199</v>
      </c>
      <c r="H254" s="16">
        <f t="shared" si="18"/>
        <v>822.29402381537159</v>
      </c>
      <c r="I254" s="16">
        <f t="shared" si="19"/>
        <v>252.10421848379397</v>
      </c>
      <c r="J254" s="16">
        <f t="shared" si="21"/>
        <v>570.18980533157765</v>
      </c>
      <c r="K254" s="16">
        <f t="shared" si="22"/>
        <v>33043.705992507625</v>
      </c>
    </row>
    <row r="255" spans="6:11">
      <c r="F255">
        <f t="shared" si="23"/>
        <v>253</v>
      </c>
      <c r="G255" s="16">
        <f t="shared" si="20"/>
        <v>33043.705992507625</v>
      </c>
      <c r="H255" s="16">
        <f t="shared" si="18"/>
        <v>822.29402381537159</v>
      </c>
      <c r="I255" s="16">
        <f t="shared" si="19"/>
        <v>247.82779494380716</v>
      </c>
      <c r="J255" s="16">
        <f t="shared" si="21"/>
        <v>574.46622887156445</v>
      </c>
      <c r="K255" s="16">
        <f t="shared" si="22"/>
        <v>32469.239763636062</v>
      </c>
    </row>
    <row r="256" spans="6:11">
      <c r="F256">
        <f t="shared" si="23"/>
        <v>254</v>
      </c>
      <c r="G256" s="16">
        <f t="shared" si="20"/>
        <v>32469.239763636062</v>
      </c>
      <c r="H256" s="16">
        <f t="shared" ref="H256:H302" si="24">$C$15</f>
        <v>822.29402381537159</v>
      </c>
      <c r="I256" s="16">
        <f t="shared" ref="I256:I302" si="25">G256*$C$13</f>
        <v>243.51929822727047</v>
      </c>
      <c r="J256" s="16">
        <f t="shared" si="21"/>
        <v>578.77472558810109</v>
      </c>
      <c r="K256" s="16">
        <f t="shared" si="22"/>
        <v>31890.465038047962</v>
      </c>
    </row>
    <row r="257" spans="6:11">
      <c r="F257">
        <f t="shared" si="23"/>
        <v>255</v>
      </c>
      <c r="G257" s="16">
        <f t="shared" si="20"/>
        <v>31890.465038047962</v>
      </c>
      <c r="H257" s="16">
        <f t="shared" si="24"/>
        <v>822.29402381537159</v>
      </c>
      <c r="I257" s="16">
        <f t="shared" si="25"/>
        <v>239.17848778535969</v>
      </c>
      <c r="J257" s="16">
        <f t="shared" si="21"/>
        <v>583.11553603001187</v>
      </c>
      <c r="K257" s="16">
        <f t="shared" si="22"/>
        <v>31307.349502017951</v>
      </c>
    </row>
    <row r="258" spans="6:11">
      <c r="F258">
        <f t="shared" si="23"/>
        <v>256</v>
      </c>
      <c r="G258" s="16">
        <f t="shared" si="20"/>
        <v>31307.349502017951</v>
      </c>
      <c r="H258" s="16">
        <f t="shared" si="24"/>
        <v>822.29402381537159</v>
      </c>
      <c r="I258" s="16">
        <f t="shared" si="25"/>
        <v>234.80512126513463</v>
      </c>
      <c r="J258" s="16">
        <f t="shared" si="21"/>
        <v>587.48890255023696</v>
      </c>
      <c r="K258" s="16">
        <f t="shared" si="22"/>
        <v>30719.860599467713</v>
      </c>
    </row>
    <row r="259" spans="6:11">
      <c r="F259">
        <f t="shared" si="23"/>
        <v>257</v>
      </c>
      <c r="G259" s="16">
        <f t="shared" si="20"/>
        <v>30719.860599467713</v>
      </c>
      <c r="H259" s="16">
        <f t="shared" si="24"/>
        <v>822.29402381537159</v>
      </c>
      <c r="I259" s="16">
        <f t="shared" si="25"/>
        <v>230.39895449600783</v>
      </c>
      <c r="J259" s="16">
        <f t="shared" si="21"/>
        <v>591.89506931936376</v>
      </c>
      <c r="K259" s="16">
        <f t="shared" si="22"/>
        <v>30127.965530148351</v>
      </c>
    </row>
    <row r="260" spans="6:11">
      <c r="F260">
        <f t="shared" si="23"/>
        <v>258</v>
      </c>
      <c r="G260" s="16">
        <f t="shared" ref="G260:G301" si="26">K259</f>
        <v>30127.965530148351</v>
      </c>
      <c r="H260" s="16">
        <f t="shared" si="24"/>
        <v>822.29402381537159</v>
      </c>
      <c r="I260" s="16">
        <f t="shared" si="25"/>
        <v>225.95974147611261</v>
      </c>
      <c r="J260" s="16">
        <f t="shared" ref="J260:J301" si="27">H260-I260</f>
        <v>596.33428233925895</v>
      </c>
      <c r="K260" s="16">
        <f t="shared" ref="K260:K301" si="28">G260-J260</f>
        <v>29531.631247809091</v>
      </c>
    </row>
    <row r="261" spans="6:11">
      <c r="F261">
        <f t="shared" ref="F261:F302" si="29">1+F260</f>
        <v>259</v>
      </c>
      <c r="G261" s="16">
        <f t="shared" si="26"/>
        <v>29531.631247809091</v>
      </c>
      <c r="H261" s="16">
        <f t="shared" si="24"/>
        <v>822.29402381537159</v>
      </c>
      <c r="I261" s="16">
        <f t="shared" si="25"/>
        <v>221.48723435856817</v>
      </c>
      <c r="J261" s="16">
        <f t="shared" si="27"/>
        <v>600.80678945680347</v>
      </c>
      <c r="K261" s="16">
        <f t="shared" si="28"/>
        <v>28930.824458352286</v>
      </c>
    </row>
    <row r="262" spans="6:11">
      <c r="F262">
        <f t="shared" si="29"/>
        <v>260</v>
      </c>
      <c r="G262" s="16">
        <f t="shared" si="26"/>
        <v>28930.824458352286</v>
      </c>
      <c r="H262" s="16">
        <f t="shared" si="24"/>
        <v>822.29402381537159</v>
      </c>
      <c r="I262" s="16">
        <f t="shared" si="25"/>
        <v>216.98118343764213</v>
      </c>
      <c r="J262" s="16">
        <f t="shared" si="27"/>
        <v>605.31284037772946</v>
      </c>
      <c r="K262" s="16">
        <f t="shared" si="28"/>
        <v>28325.511617974556</v>
      </c>
    </row>
    <row r="263" spans="6:11">
      <c r="F263">
        <f t="shared" si="29"/>
        <v>261</v>
      </c>
      <c r="G263" s="16">
        <f t="shared" si="26"/>
        <v>28325.511617974556</v>
      </c>
      <c r="H263" s="16">
        <f t="shared" si="24"/>
        <v>822.29402381537159</v>
      </c>
      <c r="I263" s="16">
        <f t="shared" si="25"/>
        <v>212.44133713480917</v>
      </c>
      <c r="J263" s="16">
        <f t="shared" si="27"/>
        <v>609.85268668056244</v>
      </c>
      <c r="K263" s="16">
        <f t="shared" si="28"/>
        <v>27715.658931293994</v>
      </c>
    </row>
    <row r="264" spans="6:11">
      <c r="F264">
        <f t="shared" si="29"/>
        <v>262</v>
      </c>
      <c r="G264" s="16">
        <f t="shared" si="26"/>
        <v>27715.658931293994</v>
      </c>
      <c r="H264" s="16">
        <f t="shared" si="24"/>
        <v>822.29402381537159</v>
      </c>
      <c r="I264" s="16">
        <f t="shared" si="25"/>
        <v>207.86744198470495</v>
      </c>
      <c r="J264" s="16">
        <f t="shared" si="27"/>
        <v>614.42658183066669</v>
      </c>
      <c r="K264" s="16">
        <f t="shared" si="28"/>
        <v>27101.232349463327</v>
      </c>
    </row>
    <row r="265" spans="6:11">
      <c r="F265">
        <f t="shared" si="29"/>
        <v>263</v>
      </c>
      <c r="G265" s="16">
        <f t="shared" si="26"/>
        <v>27101.232349463327</v>
      </c>
      <c r="H265" s="16">
        <f t="shared" si="24"/>
        <v>822.29402381537159</v>
      </c>
      <c r="I265" s="16">
        <f t="shared" si="25"/>
        <v>203.25924262097496</v>
      </c>
      <c r="J265" s="16">
        <f t="shared" si="27"/>
        <v>619.0347811943966</v>
      </c>
      <c r="K265" s="16">
        <f t="shared" si="28"/>
        <v>26482.19756826893</v>
      </c>
    </row>
    <row r="266" spans="6:11">
      <c r="F266">
        <f t="shared" si="29"/>
        <v>264</v>
      </c>
      <c r="G266" s="16">
        <f t="shared" si="26"/>
        <v>26482.19756826893</v>
      </c>
      <c r="H266" s="16">
        <f t="shared" si="24"/>
        <v>822.29402381537159</v>
      </c>
      <c r="I266" s="16">
        <f t="shared" si="25"/>
        <v>198.61648176201697</v>
      </c>
      <c r="J266" s="16">
        <f t="shared" si="27"/>
        <v>623.67754205335461</v>
      </c>
      <c r="K266" s="16">
        <f t="shared" si="28"/>
        <v>25858.520026215574</v>
      </c>
    </row>
    <row r="267" spans="6:11">
      <c r="F267">
        <f t="shared" si="29"/>
        <v>265</v>
      </c>
      <c r="G267" s="16">
        <f t="shared" si="26"/>
        <v>25858.520026215574</v>
      </c>
      <c r="H267" s="16">
        <f t="shared" si="24"/>
        <v>822.29402381537159</v>
      </c>
      <c r="I267" s="16">
        <f t="shared" si="25"/>
        <v>193.9389001966168</v>
      </c>
      <c r="J267" s="16">
        <f t="shared" si="27"/>
        <v>628.35512361875476</v>
      </c>
      <c r="K267" s="16">
        <f t="shared" si="28"/>
        <v>25230.164902596818</v>
      </c>
    </row>
    <row r="268" spans="6:11">
      <c r="F268">
        <f t="shared" si="29"/>
        <v>266</v>
      </c>
      <c r="G268" s="16">
        <f t="shared" si="26"/>
        <v>25230.164902596818</v>
      </c>
      <c r="H268" s="16">
        <f t="shared" si="24"/>
        <v>822.29402381537159</v>
      </c>
      <c r="I268" s="16">
        <f t="shared" si="25"/>
        <v>189.22623676947612</v>
      </c>
      <c r="J268" s="16">
        <f t="shared" si="27"/>
        <v>633.06778704589544</v>
      </c>
      <c r="K268" s="16">
        <f t="shared" si="28"/>
        <v>24597.097115550921</v>
      </c>
    </row>
    <row r="269" spans="6:11">
      <c r="F269">
        <f t="shared" si="29"/>
        <v>267</v>
      </c>
      <c r="G269" s="16">
        <f t="shared" si="26"/>
        <v>24597.097115550921</v>
      </c>
      <c r="H269" s="16">
        <f t="shared" si="24"/>
        <v>822.29402381537159</v>
      </c>
      <c r="I269" s="16">
        <f t="shared" si="25"/>
        <v>184.4782283666319</v>
      </c>
      <c r="J269" s="16">
        <f t="shared" si="27"/>
        <v>637.81579544873966</v>
      </c>
      <c r="K269" s="16">
        <f t="shared" si="28"/>
        <v>23959.281320102182</v>
      </c>
    </row>
    <row r="270" spans="6:11">
      <c r="F270">
        <f t="shared" si="29"/>
        <v>268</v>
      </c>
      <c r="G270" s="16">
        <f t="shared" si="26"/>
        <v>23959.281320102182</v>
      </c>
      <c r="H270" s="16">
        <f t="shared" si="24"/>
        <v>822.29402381537159</v>
      </c>
      <c r="I270" s="16">
        <f t="shared" si="25"/>
        <v>179.69460990076635</v>
      </c>
      <c r="J270" s="16">
        <f t="shared" si="27"/>
        <v>642.59941391460529</v>
      </c>
      <c r="K270" s="16">
        <f t="shared" si="28"/>
        <v>23316.681906187576</v>
      </c>
    </row>
    <row r="271" spans="6:11">
      <c r="F271">
        <f t="shared" si="29"/>
        <v>269</v>
      </c>
      <c r="G271" s="16">
        <f t="shared" si="26"/>
        <v>23316.681906187576</v>
      </c>
      <c r="H271" s="16">
        <f t="shared" si="24"/>
        <v>822.29402381537159</v>
      </c>
      <c r="I271" s="16">
        <f t="shared" si="25"/>
        <v>174.87511429640682</v>
      </c>
      <c r="J271" s="16">
        <f t="shared" si="27"/>
        <v>647.41890951896471</v>
      </c>
      <c r="K271" s="16">
        <f t="shared" si="28"/>
        <v>22669.262996668611</v>
      </c>
    </row>
    <row r="272" spans="6:11">
      <c r="F272">
        <f t="shared" si="29"/>
        <v>270</v>
      </c>
      <c r="G272" s="16">
        <f t="shared" si="26"/>
        <v>22669.262996668611</v>
      </c>
      <c r="H272" s="16">
        <f t="shared" si="24"/>
        <v>822.29402381537159</v>
      </c>
      <c r="I272" s="16">
        <f t="shared" si="25"/>
        <v>170.01947247501457</v>
      </c>
      <c r="J272" s="16">
        <f t="shared" si="27"/>
        <v>652.27455134035699</v>
      </c>
      <c r="K272" s="16">
        <f t="shared" si="28"/>
        <v>22016.988445328254</v>
      </c>
    </row>
    <row r="273" spans="6:11">
      <c r="F273">
        <f t="shared" si="29"/>
        <v>271</v>
      </c>
      <c r="G273" s="16">
        <f t="shared" si="26"/>
        <v>22016.988445328254</v>
      </c>
      <c r="H273" s="16">
        <f t="shared" si="24"/>
        <v>822.29402381537159</v>
      </c>
      <c r="I273" s="16">
        <f t="shared" si="25"/>
        <v>165.12741333996189</v>
      </c>
      <c r="J273" s="16">
        <f t="shared" si="27"/>
        <v>657.1666104754097</v>
      </c>
      <c r="K273" s="16">
        <f t="shared" si="28"/>
        <v>21359.821834852843</v>
      </c>
    </row>
    <row r="274" spans="6:11">
      <c r="F274">
        <f t="shared" si="29"/>
        <v>272</v>
      </c>
      <c r="G274" s="16">
        <f t="shared" si="26"/>
        <v>21359.821834852843</v>
      </c>
      <c r="H274" s="16">
        <f t="shared" si="24"/>
        <v>822.29402381537159</v>
      </c>
      <c r="I274" s="16">
        <f t="shared" si="25"/>
        <v>160.19866376139632</v>
      </c>
      <c r="J274" s="16">
        <f t="shared" si="27"/>
        <v>662.09536005397524</v>
      </c>
      <c r="K274" s="16">
        <f t="shared" si="28"/>
        <v>20697.726474798867</v>
      </c>
    </row>
    <row r="275" spans="6:11">
      <c r="F275">
        <f t="shared" si="29"/>
        <v>273</v>
      </c>
      <c r="G275" s="16">
        <f t="shared" si="26"/>
        <v>20697.726474798867</v>
      </c>
      <c r="H275" s="16">
        <f t="shared" si="24"/>
        <v>822.29402381537159</v>
      </c>
      <c r="I275" s="16">
        <f t="shared" si="25"/>
        <v>155.2329485609915</v>
      </c>
      <c r="J275" s="16">
        <f t="shared" si="27"/>
        <v>667.06107525438006</v>
      </c>
      <c r="K275" s="16">
        <f t="shared" si="28"/>
        <v>20030.665399544487</v>
      </c>
    </row>
    <row r="276" spans="6:11">
      <c r="F276">
        <f t="shared" si="29"/>
        <v>274</v>
      </c>
      <c r="G276" s="16">
        <f t="shared" si="26"/>
        <v>20030.665399544487</v>
      </c>
      <c r="H276" s="16">
        <f t="shared" si="24"/>
        <v>822.29402381537159</v>
      </c>
      <c r="I276" s="16">
        <f t="shared" si="25"/>
        <v>150.22999049658364</v>
      </c>
      <c r="J276" s="16">
        <f t="shared" si="27"/>
        <v>672.06403331878801</v>
      </c>
      <c r="K276" s="16">
        <f t="shared" si="28"/>
        <v>19358.601366225699</v>
      </c>
    </row>
    <row r="277" spans="6:11">
      <c r="F277">
        <f t="shared" si="29"/>
        <v>275</v>
      </c>
      <c r="G277" s="16">
        <f t="shared" si="26"/>
        <v>19358.601366225699</v>
      </c>
      <c r="H277" s="16">
        <f t="shared" si="24"/>
        <v>822.29402381537159</v>
      </c>
      <c r="I277" s="16">
        <f t="shared" si="25"/>
        <v>145.18951024669275</v>
      </c>
      <c r="J277" s="16">
        <f t="shared" si="27"/>
        <v>677.10451356867884</v>
      </c>
      <c r="K277" s="16">
        <f t="shared" si="28"/>
        <v>18681.496852657019</v>
      </c>
    </row>
    <row r="278" spans="6:11">
      <c r="F278">
        <f t="shared" si="29"/>
        <v>276</v>
      </c>
      <c r="G278" s="16">
        <f t="shared" si="26"/>
        <v>18681.496852657019</v>
      </c>
      <c r="H278" s="16">
        <f t="shared" si="24"/>
        <v>822.29402381537159</v>
      </c>
      <c r="I278" s="16">
        <f t="shared" si="25"/>
        <v>140.11122639492763</v>
      </c>
      <c r="J278" s="16">
        <f t="shared" si="27"/>
        <v>682.18279742044399</v>
      </c>
      <c r="K278" s="16">
        <f t="shared" si="28"/>
        <v>17999.314055236577</v>
      </c>
    </row>
    <row r="279" spans="6:11">
      <c r="F279">
        <f t="shared" si="29"/>
        <v>277</v>
      </c>
      <c r="G279" s="16">
        <f t="shared" si="26"/>
        <v>17999.314055236577</v>
      </c>
      <c r="H279" s="16">
        <f t="shared" si="24"/>
        <v>822.29402381537159</v>
      </c>
      <c r="I279" s="16">
        <f t="shared" si="25"/>
        <v>134.99485541427433</v>
      </c>
      <c r="J279" s="16">
        <f t="shared" si="27"/>
        <v>687.29916840109729</v>
      </c>
      <c r="K279" s="16">
        <f t="shared" si="28"/>
        <v>17312.014886835481</v>
      </c>
    </row>
    <row r="280" spans="6:11">
      <c r="F280">
        <f t="shared" si="29"/>
        <v>278</v>
      </c>
      <c r="G280" s="16">
        <f t="shared" si="26"/>
        <v>17312.014886835481</v>
      </c>
      <c r="H280" s="16">
        <f t="shared" si="24"/>
        <v>822.29402381537159</v>
      </c>
      <c r="I280" s="16">
        <f t="shared" si="25"/>
        <v>129.84011165126611</v>
      </c>
      <c r="J280" s="16">
        <f t="shared" si="27"/>
        <v>692.45391216410553</v>
      </c>
      <c r="K280" s="16">
        <f t="shared" si="28"/>
        <v>16619.560974671374</v>
      </c>
    </row>
    <row r="281" spans="6:11">
      <c r="F281">
        <f t="shared" si="29"/>
        <v>279</v>
      </c>
      <c r="G281" s="16">
        <f t="shared" si="26"/>
        <v>16619.560974671374</v>
      </c>
      <c r="H281" s="16">
        <f t="shared" si="24"/>
        <v>822.29402381537159</v>
      </c>
      <c r="I281" s="16">
        <f t="shared" si="25"/>
        <v>124.64670731003531</v>
      </c>
      <c r="J281" s="16">
        <f t="shared" si="27"/>
        <v>697.64731650533622</v>
      </c>
      <c r="K281" s="16">
        <f t="shared" si="28"/>
        <v>15921.913658166039</v>
      </c>
    </row>
    <row r="282" spans="6:11">
      <c r="F282">
        <f t="shared" si="29"/>
        <v>280</v>
      </c>
      <c r="G282" s="16">
        <f t="shared" si="26"/>
        <v>15921.913658166039</v>
      </c>
      <c r="H282" s="16">
        <f t="shared" si="24"/>
        <v>822.29402381537159</v>
      </c>
      <c r="I282" s="16">
        <f t="shared" si="25"/>
        <v>119.41435243624528</v>
      </c>
      <c r="J282" s="16">
        <f t="shared" si="27"/>
        <v>702.87967137912631</v>
      </c>
      <c r="K282" s="16">
        <f t="shared" si="28"/>
        <v>15219.033986786912</v>
      </c>
    </row>
    <row r="283" spans="6:11">
      <c r="F283">
        <f t="shared" si="29"/>
        <v>281</v>
      </c>
      <c r="G283" s="16">
        <f t="shared" si="26"/>
        <v>15219.033986786912</v>
      </c>
      <c r="H283" s="16">
        <f t="shared" si="24"/>
        <v>822.29402381537159</v>
      </c>
      <c r="I283" s="16">
        <f t="shared" si="25"/>
        <v>114.14275490090183</v>
      </c>
      <c r="J283" s="16">
        <f t="shared" si="27"/>
        <v>708.15126891446971</v>
      </c>
      <c r="K283" s="16">
        <f t="shared" si="28"/>
        <v>14510.882717872442</v>
      </c>
    </row>
    <row r="284" spans="6:11">
      <c r="F284">
        <f t="shared" si="29"/>
        <v>282</v>
      </c>
      <c r="G284" s="16">
        <f t="shared" si="26"/>
        <v>14510.882717872442</v>
      </c>
      <c r="H284" s="16">
        <f t="shared" si="24"/>
        <v>822.29402381537159</v>
      </c>
      <c r="I284" s="16">
        <f t="shared" si="25"/>
        <v>108.83162038404332</v>
      </c>
      <c r="J284" s="16">
        <f t="shared" si="27"/>
        <v>713.46240343132831</v>
      </c>
      <c r="K284" s="16">
        <f t="shared" si="28"/>
        <v>13797.420314441115</v>
      </c>
    </row>
    <row r="285" spans="6:11">
      <c r="F285">
        <f t="shared" si="29"/>
        <v>283</v>
      </c>
      <c r="G285" s="16">
        <f t="shared" si="26"/>
        <v>13797.420314441115</v>
      </c>
      <c r="H285" s="16">
        <f t="shared" si="24"/>
        <v>822.29402381537159</v>
      </c>
      <c r="I285" s="16">
        <f t="shared" si="25"/>
        <v>103.48065235830836</v>
      </c>
      <c r="J285" s="16">
        <f t="shared" si="27"/>
        <v>718.81337145706323</v>
      </c>
      <c r="K285" s="16">
        <f t="shared" si="28"/>
        <v>13078.606942984052</v>
      </c>
    </row>
    <row r="286" spans="6:11">
      <c r="F286">
        <f t="shared" si="29"/>
        <v>284</v>
      </c>
      <c r="G286" s="16">
        <f t="shared" si="26"/>
        <v>13078.606942984052</v>
      </c>
      <c r="H286" s="16">
        <f t="shared" si="24"/>
        <v>822.29402381537159</v>
      </c>
      <c r="I286" s="16">
        <f t="shared" si="25"/>
        <v>98.089552072380386</v>
      </c>
      <c r="J286" s="16">
        <f t="shared" si="27"/>
        <v>724.20447174299125</v>
      </c>
      <c r="K286" s="16">
        <f t="shared" si="28"/>
        <v>12354.402471241061</v>
      </c>
    </row>
    <row r="287" spans="6:11">
      <c r="F287">
        <f t="shared" si="29"/>
        <v>285</v>
      </c>
      <c r="G287" s="16">
        <f t="shared" si="26"/>
        <v>12354.402471241061</v>
      </c>
      <c r="H287" s="16">
        <f t="shared" si="24"/>
        <v>822.29402381537159</v>
      </c>
      <c r="I287" s="16">
        <f t="shared" si="25"/>
        <v>92.658018534307956</v>
      </c>
      <c r="J287" s="16">
        <f t="shared" si="27"/>
        <v>729.6360052810636</v>
      </c>
      <c r="K287" s="16">
        <f t="shared" si="28"/>
        <v>11624.766465959998</v>
      </c>
    </row>
    <row r="288" spans="6:11">
      <c r="F288">
        <f t="shared" si="29"/>
        <v>286</v>
      </c>
      <c r="G288" s="16">
        <f t="shared" si="26"/>
        <v>11624.766465959998</v>
      </c>
      <c r="H288" s="16">
        <f t="shared" si="24"/>
        <v>822.29402381537159</v>
      </c>
      <c r="I288" s="16">
        <f t="shared" si="25"/>
        <v>87.185748494699979</v>
      </c>
      <c r="J288" s="16">
        <f t="shared" si="27"/>
        <v>735.10827532067162</v>
      </c>
      <c r="K288" s="16">
        <f t="shared" si="28"/>
        <v>10889.658190639326</v>
      </c>
    </row>
    <row r="289" spans="6:11">
      <c r="F289">
        <f t="shared" si="29"/>
        <v>287</v>
      </c>
      <c r="G289" s="16">
        <f t="shared" si="26"/>
        <v>10889.658190639326</v>
      </c>
      <c r="H289" s="16">
        <f t="shared" si="24"/>
        <v>822.29402381537159</v>
      </c>
      <c r="I289" s="16">
        <f t="shared" si="25"/>
        <v>81.672436429794942</v>
      </c>
      <c r="J289" s="16">
        <f t="shared" si="27"/>
        <v>740.62158738557662</v>
      </c>
      <c r="K289" s="16">
        <f t="shared" si="28"/>
        <v>10149.036603253749</v>
      </c>
    </row>
    <row r="290" spans="6:11">
      <c r="F290">
        <f t="shared" si="29"/>
        <v>288</v>
      </c>
      <c r="G290" s="16">
        <f t="shared" si="26"/>
        <v>10149.036603253749</v>
      </c>
      <c r="H290" s="16">
        <f t="shared" si="24"/>
        <v>822.29402381537159</v>
      </c>
      <c r="I290" s="16">
        <f t="shared" si="25"/>
        <v>76.117774524403117</v>
      </c>
      <c r="J290" s="16">
        <f t="shared" si="27"/>
        <v>746.17624929096849</v>
      </c>
      <c r="K290" s="16">
        <f t="shared" si="28"/>
        <v>9402.8603539627802</v>
      </c>
    </row>
    <row r="291" spans="6:11">
      <c r="F291">
        <f t="shared" si="29"/>
        <v>289</v>
      </c>
      <c r="G291" s="16">
        <f t="shared" si="26"/>
        <v>9402.8603539627802</v>
      </c>
      <c r="H291" s="16">
        <f t="shared" si="24"/>
        <v>822.29402381537159</v>
      </c>
      <c r="I291" s="16">
        <f t="shared" si="25"/>
        <v>70.521452654720846</v>
      </c>
      <c r="J291" s="16">
        <f t="shared" si="27"/>
        <v>751.77257116065073</v>
      </c>
      <c r="K291" s="16">
        <f t="shared" si="28"/>
        <v>8651.0877828021294</v>
      </c>
    </row>
    <row r="292" spans="6:11">
      <c r="F292">
        <f t="shared" si="29"/>
        <v>290</v>
      </c>
      <c r="G292" s="16">
        <f t="shared" si="26"/>
        <v>8651.0877828021294</v>
      </c>
      <c r="H292" s="16">
        <f t="shared" si="24"/>
        <v>822.29402381537159</v>
      </c>
      <c r="I292" s="16">
        <f t="shared" si="25"/>
        <v>64.883158371015966</v>
      </c>
      <c r="J292" s="16">
        <f t="shared" si="27"/>
        <v>757.41086544435564</v>
      </c>
      <c r="K292" s="16">
        <f t="shared" si="28"/>
        <v>7893.6769173577741</v>
      </c>
    </row>
    <row r="293" spans="6:11">
      <c r="F293">
        <f t="shared" si="29"/>
        <v>291</v>
      </c>
      <c r="G293" s="16">
        <f t="shared" si="26"/>
        <v>7893.6769173577741</v>
      </c>
      <c r="H293" s="16">
        <f t="shared" si="24"/>
        <v>822.29402381537159</v>
      </c>
      <c r="I293" s="16">
        <f t="shared" si="25"/>
        <v>59.202576880183301</v>
      </c>
      <c r="J293" s="16">
        <f t="shared" si="27"/>
        <v>763.09144693518829</v>
      </c>
      <c r="K293" s="16">
        <f t="shared" si="28"/>
        <v>7130.5854704225858</v>
      </c>
    </row>
    <row r="294" spans="6:11">
      <c r="F294">
        <f t="shared" si="29"/>
        <v>292</v>
      </c>
      <c r="G294" s="16">
        <f t="shared" si="26"/>
        <v>7130.5854704225858</v>
      </c>
      <c r="H294" s="16">
        <f t="shared" si="24"/>
        <v>822.29402381537159</v>
      </c>
      <c r="I294" s="16">
        <f t="shared" si="25"/>
        <v>53.479391028169388</v>
      </c>
      <c r="J294" s="16">
        <f t="shared" si="27"/>
        <v>768.81463278720219</v>
      </c>
      <c r="K294" s="16">
        <f t="shared" si="28"/>
        <v>6361.7708376353839</v>
      </c>
    </row>
    <row r="295" spans="6:11">
      <c r="F295">
        <f t="shared" si="29"/>
        <v>293</v>
      </c>
      <c r="G295" s="16">
        <f t="shared" si="26"/>
        <v>6361.7708376353839</v>
      </c>
      <c r="H295" s="16">
        <f t="shared" si="24"/>
        <v>822.29402381537159</v>
      </c>
      <c r="I295" s="16">
        <f t="shared" si="25"/>
        <v>47.713281282265378</v>
      </c>
      <c r="J295" s="16">
        <f t="shared" si="27"/>
        <v>774.58074253310622</v>
      </c>
      <c r="K295" s="16">
        <f t="shared" si="28"/>
        <v>5587.1900951022781</v>
      </c>
    </row>
    <row r="296" spans="6:11">
      <c r="F296">
        <f t="shared" si="29"/>
        <v>294</v>
      </c>
      <c r="G296" s="16">
        <f t="shared" si="26"/>
        <v>5587.1900951022781</v>
      </c>
      <c r="H296" s="16">
        <f t="shared" si="24"/>
        <v>822.29402381537159</v>
      </c>
      <c r="I296" s="16">
        <f t="shared" si="25"/>
        <v>41.903925713267085</v>
      </c>
      <c r="J296" s="16">
        <f t="shared" si="27"/>
        <v>780.3900981021045</v>
      </c>
      <c r="K296" s="16">
        <f t="shared" si="28"/>
        <v>4806.7999970001738</v>
      </c>
    </row>
    <row r="297" spans="6:11">
      <c r="F297">
        <f t="shared" si="29"/>
        <v>295</v>
      </c>
      <c r="G297" s="16">
        <f t="shared" si="26"/>
        <v>4806.7999970001738</v>
      </c>
      <c r="H297" s="16">
        <f t="shared" si="24"/>
        <v>822.29402381537159</v>
      </c>
      <c r="I297" s="16">
        <f t="shared" si="25"/>
        <v>36.050999977501299</v>
      </c>
      <c r="J297" s="16">
        <f t="shared" si="27"/>
        <v>786.24302383787028</v>
      </c>
      <c r="K297" s="16">
        <f t="shared" si="28"/>
        <v>4020.5569731623036</v>
      </c>
    </row>
    <row r="298" spans="6:11">
      <c r="F298">
        <f t="shared" si="29"/>
        <v>296</v>
      </c>
      <c r="G298" s="16">
        <f t="shared" si="26"/>
        <v>4020.5569731623036</v>
      </c>
      <c r="H298" s="16">
        <f t="shared" si="24"/>
        <v>822.29402381537159</v>
      </c>
      <c r="I298" s="16">
        <f t="shared" si="25"/>
        <v>30.154177298717276</v>
      </c>
      <c r="J298" s="16">
        <f t="shared" si="27"/>
        <v>792.1398465166543</v>
      </c>
      <c r="K298" s="16">
        <f t="shared" si="28"/>
        <v>3228.4171266456492</v>
      </c>
    </row>
    <row r="299" spans="6:11">
      <c r="F299">
        <f t="shared" si="29"/>
        <v>297</v>
      </c>
      <c r="G299" s="16">
        <f t="shared" si="26"/>
        <v>3228.4171266456492</v>
      </c>
      <c r="H299" s="16">
        <f t="shared" si="24"/>
        <v>822.29402381537159</v>
      </c>
      <c r="I299" s="16">
        <f t="shared" si="25"/>
        <v>24.213128449842369</v>
      </c>
      <c r="J299" s="16">
        <f t="shared" si="27"/>
        <v>798.08089536552927</v>
      </c>
      <c r="K299" s="16">
        <f t="shared" si="28"/>
        <v>2430.33623128012</v>
      </c>
    </row>
    <row r="300" spans="6:11">
      <c r="F300">
        <f t="shared" si="29"/>
        <v>298</v>
      </c>
      <c r="G300" s="16">
        <f t="shared" si="26"/>
        <v>2430.33623128012</v>
      </c>
      <c r="H300" s="16">
        <f t="shared" si="24"/>
        <v>822.29402381537159</v>
      </c>
      <c r="I300" s="16">
        <f t="shared" si="25"/>
        <v>18.227521734600899</v>
      </c>
      <c r="J300" s="16">
        <f t="shared" si="27"/>
        <v>804.06650208077065</v>
      </c>
      <c r="K300" s="16">
        <f t="shared" si="28"/>
        <v>1626.2697291993495</v>
      </c>
    </row>
    <row r="301" spans="6:11">
      <c r="F301">
        <f t="shared" si="29"/>
        <v>299</v>
      </c>
      <c r="G301" s="16">
        <f t="shared" si="26"/>
        <v>1626.2697291993495</v>
      </c>
      <c r="H301" s="16">
        <f t="shared" si="24"/>
        <v>822.29402381537159</v>
      </c>
      <c r="I301" s="16">
        <f t="shared" si="25"/>
        <v>12.197022968995121</v>
      </c>
      <c r="J301" s="16">
        <f t="shared" si="27"/>
        <v>810.09700084637643</v>
      </c>
      <c r="K301" s="16">
        <f t="shared" si="28"/>
        <v>816.17272835297308</v>
      </c>
    </row>
    <row r="302" spans="6:11">
      <c r="F302">
        <f t="shared" si="29"/>
        <v>300</v>
      </c>
      <c r="G302" s="16">
        <f t="shared" ref="G302" si="30">K301</f>
        <v>816.17272835297308</v>
      </c>
      <c r="H302" s="16">
        <f t="shared" si="24"/>
        <v>822.29402381537159</v>
      </c>
      <c r="I302" s="16">
        <f t="shared" si="25"/>
        <v>6.1212954626472982</v>
      </c>
      <c r="J302" s="16">
        <f t="shared" ref="J302" si="31">H302-I302</f>
        <v>816.17272835272433</v>
      </c>
      <c r="K302" s="16">
        <f t="shared" ref="K302" si="32">G302-J302</f>
        <v>2.4874680093489587E-10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workbookViewId="0">
      <selection activeCell="F6" sqref="F6"/>
    </sheetView>
  </sheetViews>
  <sheetFormatPr defaultRowHeight="14.25"/>
  <cols>
    <col min="1" max="3" width="20.125" customWidth="1"/>
    <col min="7" max="7" width="10.5" customWidth="1"/>
    <col min="8" max="8" width="17.625" style="52" bestFit="1" customWidth="1"/>
    <col min="9" max="9" width="20.125" bestFit="1" customWidth="1"/>
    <col min="10" max="10" width="11" style="65" bestFit="1" customWidth="1"/>
    <col min="11" max="11" width="14.75" style="65" bestFit="1" customWidth="1"/>
    <col min="12" max="12" width="16.75" style="52" bestFit="1" customWidth="1"/>
  </cols>
  <sheetData>
    <row r="1" spans="1:12">
      <c r="A1" t="s">
        <v>21</v>
      </c>
      <c r="B1" t="s">
        <v>10</v>
      </c>
      <c r="C1" t="s">
        <v>11</v>
      </c>
      <c r="G1" t="s">
        <v>57</v>
      </c>
      <c r="H1" s="52" t="s">
        <v>52</v>
      </c>
      <c r="I1" t="s">
        <v>58</v>
      </c>
      <c r="J1" s="65" t="s">
        <v>53</v>
      </c>
      <c r="K1" s="65" t="s">
        <v>55</v>
      </c>
      <c r="L1" s="52" t="s">
        <v>56</v>
      </c>
    </row>
    <row r="2" spans="1:12">
      <c r="B2" t="s">
        <v>12</v>
      </c>
      <c r="C2" s="52">
        <v>100000</v>
      </c>
      <c r="G2">
        <v>0</v>
      </c>
      <c r="I2" s="1"/>
      <c r="K2" s="65">
        <f>Table32[[#This Row],[monthly installment]]-Table32[[#This Row],[interest]]</f>
        <v>0</v>
      </c>
      <c r="L2" s="52">
        <v>100000</v>
      </c>
    </row>
    <row r="3" spans="1:12">
      <c r="B3" t="s">
        <v>13</v>
      </c>
      <c r="C3">
        <f>7.2/100</f>
        <v>7.2000000000000008E-2</v>
      </c>
      <c r="G3">
        <f>1+G2</f>
        <v>1</v>
      </c>
      <c r="H3" s="52">
        <f t="shared" ref="H3:H33" si="0">L2</f>
        <v>100000</v>
      </c>
      <c r="I3" s="1">
        <f t="shared" ref="I3:I33" si="1">$C$6</f>
        <v>719.58869140498882</v>
      </c>
      <c r="J3" s="65">
        <f>$C$4*Table32[[#This Row],[opening balance]]</f>
        <v>600.00000000000011</v>
      </c>
      <c r="K3" s="65">
        <f>Table32[[#This Row],[monthly installment]]-Table32[[#This Row],[interest]]</f>
        <v>119.58869140498871</v>
      </c>
      <c r="L3" s="52">
        <f>Table32[[#This Row],[opening balance]]-Table32[[#This Row],[principal paid]]</f>
        <v>99880.411308595008</v>
      </c>
    </row>
    <row r="4" spans="1:12">
      <c r="B4" t="s">
        <v>14</v>
      </c>
      <c r="C4">
        <f>C3/12</f>
        <v>6.000000000000001E-3</v>
      </c>
      <c r="G4">
        <f t="shared" ref="G4:G67" si="2">1+G3</f>
        <v>2</v>
      </c>
      <c r="H4" s="52">
        <f t="shared" si="0"/>
        <v>99880.411308595008</v>
      </c>
      <c r="I4" s="1">
        <f t="shared" si="1"/>
        <v>719.58869140498882</v>
      </c>
      <c r="J4" s="65">
        <f>$C$4*Table32[[#This Row],[opening balance]]</f>
        <v>599.28246785157012</v>
      </c>
      <c r="K4" s="65">
        <f>Table32[[#This Row],[monthly installment]]-Table32[[#This Row],[interest]]</f>
        <v>120.3062235534187</v>
      </c>
      <c r="L4" s="52">
        <f>Table32[[#This Row],[opening balance]]-Table32[[#This Row],[principal paid]]</f>
        <v>99760.105085041592</v>
      </c>
    </row>
    <row r="5" spans="1:12">
      <c r="B5" t="s">
        <v>15</v>
      </c>
      <c r="C5">
        <f>25*12</f>
        <v>300</v>
      </c>
      <c r="G5">
        <f t="shared" si="2"/>
        <v>3</v>
      </c>
      <c r="H5" s="52">
        <f t="shared" si="0"/>
        <v>99760.105085041592</v>
      </c>
      <c r="I5" s="1">
        <f t="shared" si="1"/>
        <v>719.58869140498882</v>
      </c>
      <c r="J5" s="65">
        <f>$C$4*Table32[[#This Row],[opening balance]]</f>
        <v>598.56063051024967</v>
      </c>
      <c r="K5" s="65">
        <f>Table32[[#This Row],[monthly installment]]-Table32[[#This Row],[interest]]</f>
        <v>121.02806089473916</v>
      </c>
      <c r="L5" s="52">
        <f>Table32[[#This Row],[opening balance]]-Table32[[#This Row],[principal paid]]</f>
        <v>99639.077024146856</v>
      </c>
    </row>
    <row r="6" spans="1:12">
      <c r="B6" t="s">
        <v>17</v>
      </c>
      <c r="C6" s="1">
        <f>PMT(C4,C5,-C2)</f>
        <v>719.58869140498882</v>
      </c>
      <c r="G6">
        <f t="shared" si="2"/>
        <v>4</v>
      </c>
      <c r="H6" s="52">
        <f t="shared" si="0"/>
        <v>99639.077024146856</v>
      </c>
      <c r="I6" s="1">
        <f t="shared" si="1"/>
        <v>719.58869140498882</v>
      </c>
      <c r="J6" s="65">
        <f>$C$4*Table32[[#This Row],[opening balance]]</f>
        <v>597.83446214488129</v>
      </c>
      <c r="K6" s="65">
        <f>Table32[[#This Row],[monthly installment]]-Table32[[#This Row],[interest]]</f>
        <v>121.75422926010754</v>
      </c>
      <c r="L6" s="52">
        <f>Table32[[#This Row],[opening balance]]-Table32[[#This Row],[principal paid]]</f>
        <v>99517.322794886742</v>
      </c>
    </row>
    <row r="7" spans="1:12">
      <c r="B7" t="s">
        <v>22</v>
      </c>
      <c r="C7" s="1">
        <f>PV(C4,C5-(5*12),-C6)</f>
        <v>91393.831473758677</v>
      </c>
      <c r="E7">
        <f>5*12</f>
        <v>60</v>
      </c>
      <c r="G7">
        <f t="shared" si="2"/>
        <v>5</v>
      </c>
      <c r="H7" s="52">
        <f t="shared" si="0"/>
        <v>99517.322794886742</v>
      </c>
      <c r="I7" s="1">
        <f t="shared" si="1"/>
        <v>719.58869140498882</v>
      </c>
      <c r="J7" s="65">
        <f>$C$4*Table32[[#This Row],[opening balance]]</f>
        <v>597.10393676932051</v>
      </c>
      <c r="K7" s="65">
        <f>Table32[[#This Row],[monthly installment]]-Table32[[#This Row],[interest]]</f>
        <v>122.48475463566831</v>
      </c>
      <c r="L7" s="52">
        <f>Table32[[#This Row],[opening balance]]-Table32[[#This Row],[principal paid]]</f>
        <v>99394.838040251081</v>
      </c>
    </row>
    <row r="8" spans="1:12">
      <c r="G8">
        <f t="shared" si="2"/>
        <v>6</v>
      </c>
      <c r="H8" s="52">
        <f t="shared" si="0"/>
        <v>99394.838040251081</v>
      </c>
      <c r="I8" s="1">
        <f t="shared" si="1"/>
        <v>719.58869140498882</v>
      </c>
      <c r="J8" s="65">
        <f>$C$4*Table32[[#This Row],[opening balance]]</f>
        <v>596.36902824150661</v>
      </c>
      <c r="K8" s="65">
        <f>Table32[[#This Row],[monthly installment]]-Table32[[#This Row],[interest]]</f>
        <v>123.21966316348221</v>
      </c>
      <c r="L8" s="52">
        <f>Table32[[#This Row],[opening balance]]-Table32[[#This Row],[principal paid]]</f>
        <v>99271.618377087594</v>
      </c>
    </row>
    <row r="9" spans="1:12">
      <c r="A9" t="s">
        <v>23</v>
      </c>
      <c r="B9" t="s">
        <v>10</v>
      </c>
      <c r="C9" t="s">
        <v>11</v>
      </c>
      <c r="G9">
        <f t="shared" si="2"/>
        <v>7</v>
      </c>
      <c r="H9" s="52">
        <f t="shared" si="0"/>
        <v>99271.618377087594</v>
      </c>
      <c r="I9" s="1">
        <f t="shared" si="1"/>
        <v>719.58869140498882</v>
      </c>
      <c r="J9" s="65">
        <f>$C$4*Table32[[#This Row],[opening balance]]</f>
        <v>595.62971026252569</v>
      </c>
      <c r="K9" s="65">
        <f>Table32[[#This Row],[monthly installment]]-Table32[[#This Row],[interest]]</f>
        <v>123.95898114246313</v>
      </c>
      <c r="L9" s="52">
        <f>Table32[[#This Row],[opening balance]]-Table32[[#This Row],[principal paid]]</f>
        <v>99147.659395945127</v>
      </c>
    </row>
    <row r="10" spans="1:12">
      <c r="B10" t="s">
        <v>12</v>
      </c>
      <c r="C10" s="1">
        <f>C7</f>
        <v>91393.831473758677</v>
      </c>
      <c r="G10">
        <f t="shared" si="2"/>
        <v>8</v>
      </c>
      <c r="H10" s="52">
        <f t="shared" si="0"/>
        <v>99147.659395945127</v>
      </c>
      <c r="I10" s="1">
        <f t="shared" si="1"/>
        <v>719.58869140498882</v>
      </c>
      <c r="J10" s="65">
        <f>$C$4*Table32[[#This Row],[opening balance]]</f>
        <v>594.88595637567084</v>
      </c>
      <c r="K10" s="65">
        <f>Table32[[#This Row],[monthly installment]]-Table32[[#This Row],[interest]]</f>
        <v>124.70273502931798</v>
      </c>
      <c r="L10" s="52">
        <f>Table32[[#This Row],[opening balance]]-Table32[[#This Row],[principal paid]]</f>
        <v>99022.956660915806</v>
      </c>
    </row>
    <row r="11" spans="1:12">
      <c r="B11" t="s">
        <v>13</v>
      </c>
      <c r="C11">
        <f>9/100</f>
        <v>0.09</v>
      </c>
      <c r="G11">
        <f t="shared" si="2"/>
        <v>9</v>
      </c>
      <c r="H11" s="52">
        <f t="shared" si="0"/>
        <v>99022.956660915806</v>
      </c>
      <c r="I11" s="1">
        <f t="shared" si="1"/>
        <v>719.58869140498882</v>
      </c>
      <c r="J11" s="65">
        <f>$C$4*Table32[[#This Row],[opening balance]]</f>
        <v>594.13773996549492</v>
      </c>
      <c r="K11" s="65">
        <f>Table32[[#This Row],[monthly installment]]-Table32[[#This Row],[interest]]</f>
        <v>125.45095143949391</v>
      </c>
      <c r="L11" s="52">
        <f>Table32[[#This Row],[opening balance]]-Table32[[#This Row],[principal paid]]</f>
        <v>98897.505709476318</v>
      </c>
    </row>
    <row r="12" spans="1:12">
      <c r="B12" t="s">
        <v>14</v>
      </c>
      <c r="C12">
        <f>C11/12</f>
        <v>7.4999999999999997E-3</v>
      </c>
      <c r="G12">
        <f t="shared" si="2"/>
        <v>10</v>
      </c>
      <c r="H12" s="52">
        <f t="shared" si="0"/>
        <v>98897.505709476318</v>
      </c>
      <c r="I12" s="1">
        <f t="shared" si="1"/>
        <v>719.58869140498882</v>
      </c>
      <c r="J12" s="65">
        <f>$C$4*Table32[[#This Row],[opening balance]]</f>
        <v>593.38503425685803</v>
      </c>
      <c r="K12" s="65">
        <f>Table32[[#This Row],[monthly installment]]-Table32[[#This Row],[interest]]</f>
        <v>126.20365714813079</v>
      </c>
      <c r="L12" s="52">
        <f>Table32[[#This Row],[opening balance]]-Table32[[#This Row],[principal paid]]</f>
        <v>98771.302052328188</v>
      </c>
    </row>
    <row r="13" spans="1:12">
      <c r="B13" t="s">
        <v>15</v>
      </c>
      <c r="C13">
        <f>20*12</f>
        <v>240</v>
      </c>
      <c r="G13">
        <f t="shared" si="2"/>
        <v>11</v>
      </c>
      <c r="H13" s="52">
        <f t="shared" si="0"/>
        <v>98771.302052328188</v>
      </c>
      <c r="I13" s="1">
        <f t="shared" si="1"/>
        <v>719.58869140498882</v>
      </c>
      <c r="J13" s="65">
        <f>$C$4*Table32[[#This Row],[opening balance]]</f>
        <v>592.62781231396923</v>
      </c>
      <c r="K13" s="65">
        <f>Table32[[#This Row],[monthly installment]]-Table32[[#This Row],[interest]]</f>
        <v>126.96087909101959</v>
      </c>
      <c r="L13" s="52">
        <f>Table32[[#This Row],[opening balance]]-Table32[[#This Row],[principal paid]]</f>
        <v>98644.341173237175</v>
      </c>
    </row>
    <row r="14" spans="1:12">
      <c r="B14" t="s">
        <v>17</v>
      </c>
      <c r="C14" s="1">
        <f>PMT(C12,Student_Variable_Rates!C13,-Student_Variable_Rates!C10)</f>
        <v>822.29402381537159</v>
      </c>
      <c r="G14">
        <f t="shared" si="2"/>
        <v>12</v>
      </c>
      <c r="H14" s="52">
        <f t="shared" si="0"/>
        <v>98644.341173237175</v>
      </c>
      <c r="I14" s="1">
        <f t="shared" si="1"/>
        <v>719.58869140498882</v>
      </c>
      <c r="J14" s="65">
        <f>$C$4*Table32[[#This Row],[opening balance]]</f>
        <v>591.86604703942317</v>
      </c>
      <c r="K14" s="65">
        <f>Table32[[#This Row],[monthly installment]]-Table32[[#This Row],[interest]]</f>
        <v>127.72264436556566</v>
      </c>
      <c r="L14" s="52">
        <f>Table32[[#This Row],[opening balance]]-Table32[[#This Row],[principal paid]]</f>
        <v>98516.618528871608</v>
      </c>
    </row>
    <row r="15" spans="1:12">
      <c r="G15">
        <f t="shared" si="2"/>
        <v>13</v>
      </c>
      <c r="H15" s="52">
        <f t="shared" si="0"/>
        <v>98516.618528871608</v>
      </c>
      <c r="I15" s="1">
        <f t="shared" si="1"/>
        <v>719.58869140498882</v>
      </c>
      <c r="J15" s="65">
        <f>$C$4*Table32[[#This Row],[opening balance]]</f>
        <v>591.09971117322971</v>
      </c>
      <c r="K15" s="65">
        <f>Table32[[#This Row],[monthly installment]]-Table32[[#This Row],[interest]]</f>
        <v>128.48898023175911</v>
      </c>
      <c r="L15" s="52">
        <f>Table32[[#This Row],[opening balance]]-Table32[[#This Row],[principal paid]]</f>
        <v>98388.129548639845</v>
      </c>
    </row>
    <row r="16" spans="1:12">
      <c r="G16">
        <f t="shared" si="2"/>
        <v>14</v>
      </c>
      <c r="H16" s="52">
        <f t="shared" si="0"/>
        <v>98388.129548639845</v>
      </c>
      <c r="I16" s="1">
        <f t="shared" si="1"/>
        <v>719.58869140498882</v>
      </c>
      <c r="J16" s="65">
        <f>$C$4*Table32[[#This Row],[opening balance]]</f>
        <v>590.32877729183917</v>
      </c>
      <c r="K16" s="65">
        <f>Table32[[#This Row],[monthly installment]]-Table32[[#This Row],[interest]]</f>
        <v>129.25991411314965</v>
      </c>
      <c r="L16" s="52">
        <f>Table32[[#This Row],[opening balance]]-Table32[[#This Row],[principal paid]]</f>
        <v>98258.869634526694</v>
      </c>
    </row>
    <row r="17" spans="7:12">
      <c r="G17">
        <f t="shared" si="2"/>
        <v>15</v>
      </c>
      <c r="H17" s="52">
        <f t="shared" si="0"/>
        <v>98258.869634526694</v>
      </c>
      <c r="I17" s="1">
        <f t="shared" si="1"/>
        <v>719.58869140498882</v>
      </c>
      <c r="J17" s="65">
        <f>$C$4*Table32[[#This Row],[opening balance]]</f>
        <v>589.55321780716031</v>
      </c>
      <c r="K17" s="65">
        <f>Table32[[#This Row],[monthly installment]]-Table32[[#This Row],[interest]]</f>
        <v>130.03547359782851</v>
      </c>
      <c r="L17" s="52">
        <f>Table32[[#This Row],[opening balance]]-Table32[[#This Row],[principal paid]]</f>
        <v>98128.834160928862</v>
      </c>
    </row>
    <row r="18" spans="7:12">
      <c r="G18">
        <f t="shared" si="2"/>
        <v>16</v>
      </c>
      <c r="H18" s="52">
        <f t="shared" si="0"/>
        <v>98128.834160928862</v>
      </c>
      <c r="I18" s="1">
        <f t="shared" si="1"/>
        <v>719.58869140498882</v>
      </c>
      <c r="J18" s="65">
        <f>$C$4*Table32[[#This Row],[opening balance]]</f>
        <v>588.77300496557325</v>
      </c>
      <c r="K18" s="65">
        <f>Table32[[#This Row],[monthly installment]]-Table32[[#This Row],[interest]]</f>
        <v>130.81568643941557</v>
      </c>
      <c r="L18" s="52">
        <f>Table32[[#This Row],[opening balance]]-Table32[[#This Row],[principal paid]]</f>
        <v>97998.01847448945</v>
      </c>
    </row>
    <row r="19" spans="7:12">
      <c r="G19">
        <f t="shared" si="2"/>
        <v>17</v>
      </c>
      <c r="H19" s="52">
        <f t="shared" si="0"/>
        <v>97998.01847448945</v>
      </c>
      <c r="I19" s="1">
        <f t="shared" si="1"/>
        <v>719.58869140498882</v>
      </c>
      <c r="J19" s="65">
        <f>$C$4*Table32[[#This Row],[opening balance]]</f>
        <v>587.98811084693682</v>
      </c>
      <c r="K19" s="65">
        <f>Table32[[#This Row],[monthly installment]]-Table32[[#This Row],[interest]]</f>
        <v>131.600580558052</v>
      </c>
      <c r="L19" s="52">
        <f>Table32[[#This Row],[opening balance]]-Table32[[#This Row],[principal paid]]</f>
        <v>97866.417893931401</v>
      </c>
    </row>
    <row r="20" spans="7:12">
      <c r="G20">
        <f t="shared" si="2"/>
        <v>18</v>
      </c>
      <c r="H20" s="52">
        <f t="shared" si="0"/>
        <v>97866.417893931401</v>
      </c>
      <c r="I20" s="1">
        <f t="shared" si="1"/>
        <v>719.58869140498882</v>
      </c>
      <c r="J20" s="65">
        <f>$C$4*Table32[[#This Row],[opening balance]]</f>
        <v>587.19850736358853</v>
      </c>
      <c r="K20" s="65">
        <f>Table32[[#This Row],[monthly installment]]-Table32[[#This Row],[interest]]</f>
        <v>132.39018404140029</v>
      </c>
      <c r="L20" s="52">
        <f>Table32[[#This Row],[opening balance]]-Table32[[#This Row],[principal paid]]</f>
        <v>97734.027709889997</v>
      </c>
    </row>
    <row r="21" spans="7:12">
      <c r="G21">
        <f t="shared" si="2"/>
        <v>19</v>
      </c>
      <c r="H21" s="52">
        <f t="shared" si="0"/>
        <v>97734.027709889997</v>
      </c>
      <c r="I21" s="1">
        <f t="shared" si="1"/>
        <v>719.58869140498882</v>
      </c>
      <c r="J21" s="65">
        <f>$C$4*Table32[[#This Row],[opening balance]]</f>
        <v>586.40416625934006</v>
      </c>
      <c r="K21" s="65">
        <f>Table32[[#This Row],[monthly installment]]-Table32[[#This Row],[interest]]</f>
        <v>133.18452514564876</v>
      </c>
      <c r="L21" s="52">
        <f>Table32[[#This Row],[opening balance]]-Table32[[#This Row],[principal paid]]</f>
        <v>97600.843184744343</v>
      </c>
    </row>
    <row r="22" spans="7:12">
      <c r="G22">
        <f t="shared" si="2"/>
        <v>20</v>
      </c>
      <c r="H22" s="52">
        <f t="shared" si="0"/>
        <v>97600.843184744343</v>
      </c>
      <c r="I22" s="1">
        <f t="shared" si="1"/>
        <v>719.58869140498882</v>
      </c>
      <c r="J22" s="65">
        <f>$C$4*Table32[[#This Row],[opening balance]]</f>
        <v>585.60505910846621</v>
      </c>
      <c r="K22" s="65">
        <f>Table32[[#This Row],[monthly installment]]-Table32[[#This Row],[interest]]</f>
        <v>133.98363229652261</v>
      </c>
      <c r="L22" s="52">
        <f>Table32[[#This Row],[opening balance]]-Table32[[#This Row],[principal paid]]</f>
        <v>97466.859552447815</v>
      </c>
    </row>
    <row r="23" spans="7:12">
      <c r="G23">
        <f t="shared" si="2"/>
        <v>21</v>
      </c>
      <c r="H23" s="52">
        <f t="shared" si="0"/>
        <v>97466.859552447815</v>
      </c>
      <c r="I23" s="1">
        <f t="shared" si="1"/>
        <v>719.58869140498882</v>
      </c>
      <c r="J23" s="65">
        <f>$C$4*Table32[[#This Row],[opening balance]]</f>
        <v>584.80115731468698</v>
      </c>
      <c r="K23" s="65">
        <f>Table32[[#This Row],[monthly installment]]-Table32[[#This Row],[interest]]</f>
        <v>134.78753409030185</v>
      </c>
      <c r="L23" s="52">
        <f>Table32[[#This Row],[opening balance]]-Table32[[#This Row],[principal paid]]</f>
        <v>97332.072018357518</v>
      </c>
    </row>
    <row r="24" spans="7:12">
      <c r="G24">
        <f>1+G23</f>
        <v>22</v>
      </c>
      <c r="H24" s="52">
        <f t="shared" si="0"/>
        <v>97332.072018357518</v>
      </c>
      <c r="I24" s="1">
        <f t="shared" si="1"/>
        <v>719.58869140498882</v>
      </c>
      <c r="J24" s="65">
        <f>$C$4*Table32[[#This Row],[opening balance]]</f>
        <v>583.99243211014516</v>
      </c>
      <c r="K24" s="65">
        <f>Table32[[#This Row],[monthly installment]]-Table32[[#This Row],[interest]]</f>
        <v>135.59625929484366</v>
      </c>
      <c r="L24" s="52">
        <f>Table32[[#This Row],[opening balance]]-Table32[[#This Row],[principal paid]]</f>
        <v>97196.475759062669</v>
      </c>
    </row>
    <row r="25" spans="7:12">
      <c r="G25">
        <f t="shared" si="2"/>
        <v>23</v>
      </c>
      <c r="H25" s="52">
        <f t="shared" si="0"/>
        <v>97196.475759062669</v>
      </c>
      <c r="I25" s="1">
        <f t="shared" si="1"/>
        <v>719.58869140498882</v>
      </c>
      <c r="J25" s="65">
        <f>$C$4*Table32[[#This Row],[opening balance]]</f>
        <v>583.17885455437613</v>
      </c>
      <c r="K25" s="65">
        <f>Table32[[#This Row],[monthly installment]]-Table32[[#This Row],[interest]]</f>
        <v>136.40983685061269</v>
      </c>
      <c r="L25" s="52">
        <f>Table32[[#This Row],[opening balance]]-Table32[[#This Row],[principal paid]]</f>
        <v>97060.065922212059</v>
      </c>
    </row>
    <row r="26" spans="7:12">
      <c r="G26">
        <f t="shared" si="2"/>
        <v>24</v>
      </c>
      <c r="H26" s="52">
        <f t="shared" si="0"/>
        <v>97060.065922212059</v>
      </c>
      <c r="I26" s="1">
        <f t="shared" si="1"/>
        <v>719.58869140498882</v>
      </c>
      <c r="J26" s="65">
        <f>$C$4*Table32[[#This Row],[opening balance]]</f>
        <v>582.36039553327248</v>
      </c>
      <c r="K26" s="65">
        <f>Table32[[#This Row],[monthly installment]]-Table32[[#This Row],[interest]]</f>
        <v>137.22829587171634</v>
      </c>
      <c r="L26" s="52">
        <f>Table32[[#This Row],[opening balance]]-Table32[[#This Row],[principal paid]]</f>
        <v>96922.837626340348</v>
      </c>
    </row>
    <row r="27" spans="7:12">
      <c r="G27">
        <f t="shared" si="2"/>
        <v>25</v>
      </c>
      <c r="H27" s="52">
        <f t="shared" si="0"/>
        <v>96922.837626340348</v>
      </c>
      <c r="I27" s="1">
        <f t="shared" si="1"/>
        <v>719.58869140498882</v>
      </c>
      <c r="J27" s="65">
        <f>$C$4*Table32[[#This Row],[opening balance]]</f>
        <v>581.5370257580422</v>
      </c>
      <c r="K27" s="65">
        <f>Table32[[#This Row],[monthly installment]]-Table32[[#This Row],[interest]]</f>
        <v>138.05166564694662</v>
      </c>
      <c r="L27" s="52">
        <f>Table32[[#This Row],[opening balance]]-Table32[[#This Row],[principal paid]]</f>
        <v>96784.785960693407</v>
      </c>
    </row>
    <row r="28" spans="7:12">
      <c r="G28">
        <f t="shared" si="2"/>
        <v>26</v>
      </c>
      <c r="H28" s="52">
        <f t="shared" si="0"/>
        <v>96784.785960693407</v>
      </c>
      <c r="I28" s="1">
        <f t="shared" si="1"/>
        <v>719.58869140498882</v>
      </c>
      <c r="J28" s="65">
        <f>$C$4*Table32[[#This Row],[opening balance]]</f>
        <v>580.7087157641605</v>
      </c>
      <c r="K28" s="65">
        <f>Table32[[#This Row],[monthly installment]]-Table32[[#This Row],[interest]]</f>
        <v>138.87997564082832</v>
      </c>
      <c r="L28" s="52">
        <f>Table32[[#This Row],[opening balance]]-Table32[[#This Row],[principal paid]]</f>
        <v>96645.905985052581</v>
      </c>
    </row>
    <row r="29" spans="7:12">
      <c r="G29">
        <f t="shared" si="2"/>
        <v>27</v>
      </c>
      <c r="H29" s="52">
        <f t="shared" si="0"/>
        <v>96645.905985052581</v>
      </c>
      <c r="I29" s="1">
        <f t="shared" si="1"/>
        <v>719.58869140498882</v>
      </c>
      <c r="J29" s="65">
        <f>$C$4*Table32[[#This Row],[opening balance]]</f>
        <v>579.87543591031556</v>
      </c>
      <c r="K29" s="65">
        <f>Table32[[#This Row],[monthly installment]]-Table32[[#This Row],[interest]]</f>
        <v>139.71325549467326</v>
      </c>
      <c r="L29" s="52">
        <f>Table32[[#This Row],[opening balance]]-Table32[[#This Row],[principal paid]]</f>
        <v>96506.192729557908</v>
      </c>
    </row>
    <row r="30" spans="7:12">
      <c r="G30">
        <f t="shared" si="2"/>
        <v>28</v>
      </c>
      <c r="H30" s="52">
        <f t="shared" si="0"/>
        <v>96506.192729557908</v>
      </c>
      <c r="I30" s="1">
        <f t="shared" si="1"/>
        <v>719.58869140498882</v>
      </c>
      <c r="J30" s="65">
        <f>$C$4*Table32[[#This Row],[opening balance]]</f>
        <v>579.03715637734751</v>
      </c>
      <c r="K30" s="65">
        <f>Table32[[#This Row],[monthly installment]]-Table32[[#This Row],[interest]]</f>
        <v>140.55153502764131</v>
      </c>
      <c r="L30" s="52">
        <f>Table32[[#This Row],[opening balance]]-Table32[[#This Row],[principal paid]]</f>
        <v>96365.641194530268</v>
      </c>
    </row>
    <row r="31" spans="7:12">
      <c r="G31">
        <f t="shared" si="2"/>
        <v>29</v>
      </c>
      <c r="H31" s="52">
        <f t="shared" si="0"/>
        <v>96365.641194530268</v>
      </c>
      <c r="I31" s="1">
        <f t="shared" si="1"/>
        <v>719.58869140498882</v>
      </c>
      <c r="J31" s="65">
        <f>$C$4*Table32[[#This Row],[opening balance]]</f>
        <v>578.19384716718173</v>
      </c>
      <c r="K31" s="65">
        <f>Table32[[#This Row],[monthly installment]]-Table32[[#This Row],[interest]]</f>
        <v>141.39484423780709</v>
      </c>
      <c r="L31" s="52">
        <f>Table32[[#This Row],[opening balance]]-Table32[[#This Row],[principal paid]]</f>
        <v>96224.246350292466</v>
      </c>
    </row>
    <row r="32" spans="7:12">
      <c r="G32">
        <f t="shared" si="2"/>
        <v>30</v>
      </c>
      <c r="H32" s="52">
        <f t="shared" si="0"/>
        <v>96224.246350292466</v>
      </c>
      <c r="I32" s="1">
        <f t="shared" si="1"/>
        <v>719.58869140498882</v>
      </c>
      <c r="J32" s="65">
        <f>$C$4*Table32[[#This Row],[opening balance]]</f>
        <v>577.34547810175491</v>
      </c>
      <c r="K32" s="65">
        <f>Table32[[#This Row],[monthly installment]]-Table32[[#This Row],[interest]]</f>
        <v>142.24321330323392</v>
      </c>
      <c r="L32" s="52">
        <f>Table32[[#This Row],[opening balance]]-Table32[[#This Row],[principal paid]]</f>
        <v>96082.003136989239</v>
      </c>
    </row>
    <row r="33" spans="7:12">
      <c r="G33">
        <f t="shared" si="2"/>
        <v>31</v>
      </c>
      <c r="H33" s="52">
        <f t="shared" si="0"/>
        <v>96082.003136989239</v>
      </c>
      <c r="I33" s="1">
        <f t="shared" si="1"/>
        <v>719.58869140498882</v>
      </c>
      <c r="J33" s="65">
        <f>$C$4*Table32[[#This Row],[opening balance]]</f>
        <v>576.49201882193552</v>
      </c>
      <c r="K33" s="65">
        <f>Table32[[#This Row],[monthly installment]]-Table32[[#This Row],[interest]]</f>
        <v>143.09667258305331</v>
      </c>
      <c r="L33" s="52">
        <f>Table32[[#This Row],[opening balance]]-Table32[[#This Row],[principal paid]]</f>
        <v>95938.906464406187</v>
      </c>
    </row>
    <row r="34" spans="7:12">
      <c r="G34">
        <f t="shared" si="2"/>
        <v>32</v>
      </c>
      <c r="H34" s="52">
        <f t="shared" ref="H34:H65" si="3">L33</f>
        <v>95938.906464406187</v>
      </c>
      <c r="I34" s="1">
        <f t="shared" ref="I34:I62" si="4">$C$6</f>
        <v>719.58869140498882</v>
      </c>
      <c r="J34" s="65">
        <f>$C$4*Table32[[#This Row],[opening balance]]</f>
        <v>575.63343878643718</v>
      </c>
      <c r="K34" s="65">
        <f>Table32[[#This Row],[monthly installment]]-Table32[[#This Row],[interest]]</f>
        <v>143.95525261855164</v>
      </c>
      <c r="L34" s="52">
        <f>Table32[[#This Row],[opening balance]]-Table32[[#This Row],[principal paid]]</f>
        <v>95794.951211787629</v>
      </c>
    </row>
    <row r="35" spans="7:12">
      <c r="G35">
        <f t="shared" si="2"/>
        <v>33</v>
      </c>
      <c r="H35" s="52">
        <f t="shared" si="3"/>
        <v>95794.951211787629</v>
      </c>
      <c r="I35" s="1">
        <f t="shared" si="4"/>
        <v>719.58869140498882</v>
      </c>
      <c r="J35" s="65">
        <f>$C$4*Table32[[#This Row],[opening balance]]</f>
        <v>574.76970727072592</v>
      </c>
      <c r="K35" s="65">
        <f>Table32[[#This Row],[monthly installment]]-Table32[[#This Row],[interest]]</f>
        <v>144.81898413426291</v>
      </c>
      <c r="L35" s="52">
        <f>Table32[[#This Row],[opening balance]]-Table32[[#This Row],[principal paid]]</f>
        <v>95650.132227653361</v>
      </c>
    </row>
    <row r="36" spans="7:12">
      <c r="G36">
        <f t="shared" si="2"/>
        <v>34</v>
      </c>
      <c r="H36" s="52">
        <f t="shared" si="3"/>
        <v>95650.132227653361</v>
      </c>
      <c r="I36" s="1">
        <f t="shared" si="4"/>
        <v>719.58869140498882</v>
      </c>
      <c r="J36" s="65">
        <f>$C$4*Table32[[#This Row],[opening balance]]</f>
        <v>573.90079336592021</v>
      </c>
      <c r="K36" s="65">
        <f>Table32[[#This Row],[monthly installment]]-Table32[[#This Row],[interest]]</f>
        <v>145.68789803906861</v>
      </c>
      <c r="L36" s="52">
        <f>Table32[[#This Row],[opening balance]]-Table32[[#This Row],[principal paid]]</f>
        <v>95504.444329614285</v>
      </c>
    </row>
    <row r="37" spans="7:12">
      <c r="G37">
        <f t="shared" si="2"/>
        <v>35</v>
      </c>
      <c r="H37" s="52">
        <f t="shared" si="3"/>
        <v>95504.444329614285</v>
      </c>
      <c r="I37" s="1">
        <f t="shared" si="4"/>
        <v>719.58869140498882</v>
      </c>
      <c r="J37" s="65">
        <f>$C$4*Table32[[#This Row],[opening balance]]</f>
        <v>573.02666597768575</v>
      </c>
      <c r="K37" s="65">
        <f>Table32[[#This Row],[monthly installment]]-Table32[[#This Row],[interest]]</f>
        <v>146.56202542730307</v>
      </c>
      <c r="L37" s="52">
        <f>Table32[[#This Row],[opening balance]]-Table32[[#This Row],[principal paid]]</f>
        <v>95357.882304186976</v>
      </c>
    </row>
    <row r="38" spans="7:12">
      <c r="G38">
        <f t="shared" si="2"/>
        <v>36</v>
      </c>
      <c r="H38" s="52">
        <f t="shared" si="3"/>
        <v>95357.882304186976</v>
      </c>
      <c r="I38" s="1">
        <f t="shared" si="4"/>
        <v>719.58869140498882</v>
      </c>
      <c r="J38" s="65">
        <f>$C$4*Table32[[#This Row],[opening balance]]</f>
        <v>572.14729382512201</v>
      </c>
      <c r="K38" s="65">
        <f>Table32[[#This Row],[monthly installment]]-Table32[[#This Row],[interest]]</f>
        <v>147.44139757986682</v>
      </c>
      <c r="L38" s="52">
        <f>Table32[[#This Row],[opening balance]]-Table32[[#This Row],[principal paid]]</f>
        <v>95210.440906607109</v>
      </c>
    </row>
    <row r="39" spans="7:12">
      <c r="G39">
        <f t="shared" si="2"/>
        <v>37</v>
      </c>
      <c r="H39" s="52">
        <f t="shared" si="3"/>
        <v>95210.440906607109</v>
      </c>
      <c r="I39" s="1">
        <f t="shared" si="4"/>
        <v>719.58869140498882</v>
      </c>
      <c r="J39" s="65">
        <f>$C$4*Table32[[#This Row],[opening balance]]</f>
        <v>571.26264543964271</v>
      </c>
      <c r="K39" s="65">
        <f>Table32[[#This Row],[monthly installment]]-Table32[[#This Row],[interest]]</f>
        <v>148.32604596534611</v>
      </c>
      <c r="L39" s="52">
        <f>Table32[[#This Row],[opening balance]]-Table32[[#This Row],[principal paid]]</f>
        <v>95062.11486064177</v>
      </c>
    </row>
    <row r="40" spans="7:12">
      <c r="G40">
        <f t="shared" si="2"/>
        <v>38</v>
      </c>
      <c r="H40" s="52">
        <f t="shared" si="3"/>
        <v>95062.11486064177</v>
      </c>
      <c r="I40" s="1">
        <f t="shared" si="4"/>
        <v>719.58869140498882</v>
      </c>
      <c r="J40" s="65">
        <f>$C$4*Table32[[#This Row],[opening balance]]</f>
        <v>570.37268916385074</v>
      </c>
      <c r="K40" s="65">
        <f>Table32[[#This Row],[monthly installment]]-Table32[[#This Row],[interest]]</f>
        <v>149.21600224113809</v>
      </c>
      <c r="L40" s="52">
        <f>Table32[[#This Row],[opening balance]]-Table32[[#This Row],[principal paid]]</f>
        <v>94912.898858400629</v>
      </c>
    </row>
    <row r="41" spans="7:12">
      <c r="G41">
        <f t="shared" si="2"/>
        <v>39</v>
      </c>
      <c r="H41" s="52">
        <f t="shared" si="3"/>
        <v>94912.898858400629</v>
      </c>
      <c r="I41" s="1">
        <f t="shared" si="4"/>
        <v>719.58869140498882</v>
      </c>
      <c r="J41" s="65">
        <f>$C$4*Table32[[#This Row],[opening balance]]</f>
        <v>569.47739315040383</v>
      </c>
      <c r="K41" s="65">
        <f>Table32[[#This Row],[monthly installment]]-Table32[[#This Row],[interest]]</f>
        <v>150.11129825458499</v>
      </c>
      <c r="L41" s="52">
        <f>Table32[[#This Row],[opening balance]]-Table32[[#This Row],[principal paid]]</f>
        <v>94762.78756014604</v>
      </c>
    </row>
    <row r="42" spans="7:12">
      <c r="G42">
        <f t="shared" si="2"/>
        <v>40</v>
      </c>
      <c r="H42" s="52">
        <f t="shared" si="3"/>
        <v>94762.78756014604</v>
      </c>
      <c r="I42" s="1">
        <f t="shared" si="4"/>
        <v>719.58869140498882</v>
      </c>
      <c r="J42" s="65">
        <f>$C$4*Table32[[#This Row],[opening balance]]</f>
        <v>568.57672536087637</v>
      </c>
      <c r="K42" s="65">
        <f>Table32[[#This Row],[monthly installment]]-Table32[[#This Row],[interest]]</f>
        <v>151.01196604411246</v>
      </c>
      <c r="L42" s="52">
        <f>Table32[[#This Row],[opening balance]]-Table32[[#This Row],[principal paid]]</f>
        <v>94611.775594101928</v>
      </c>
    </row>
    <row r="43" spans="7:12">
      <c r="G43">
        <f t="shared" si="2"/>
        <v>41</v>
      </c>
      <c r="H43" s="52">
        <f t="shared" si="3"/>
        <v>94611.775594101928</v>
      </c>
      <c r="I43" s="1">
        <f t="shared" si="4"/>
        <v>719.58869140498882</v>
      </c>
      <c r="J43" s="65">
        <f>$C$4*Table32[[#This Row],[opening balance]]</f>
        <v>567.67065356461171</v>
      </c>
      <c r="K43" s="65">
        <f>Table32[[#This Row],[monthly installment]]-Table32[[#This Row],[interest]]</f>
        <v>151.91803784037711</v>
      </c>
      <c r="L43" s="52">
        <f>Table32[[#This Row],[opening balance]]-Table32[[#This Row],[principal paid]]</f>
        <v>94459.857556261544</v>
      </c>
    </row>
    <row r="44" spans="7:12">
      <c r="G44">
        <f t="shared" si="2"/>
        <v>42</v>
      </c>
      <c r="H44" s="52">
        <f t="shared" si="3"/>
        <v>94459.857556261544</v>
      </c>
      <c r="I44" s="1">
        <f t="shared" si="4"/>
        <v>719.58869140498882</v>
      </c>
      <c r="J44" s="65">
        <f>$C$4*Table32[[#This Row],[opening balance]]</f>
        <v>566.75914533756941</v>
      </c>
      <c r="K44" s="65">
        <f>Table32[[#This Row],[monthly installment]]-Table32[[#This Row],[interest]]</f>
        <v>152.82954606741941</v>
      </c>
      <c r="L44" s="52">
        <f>Table32[[#This Row],[opening balance]]-Table32[[#This Row],[principal paid]]</f>
        <v>94307.028010194132</v>
      </c>
    </row>
    <row r="45" spans="7:12">
      <c r="G45">
        <f t="shared" si="2"/>
        <v>43</v>
      </c>
      <c r="H45" s="52">
        <f t="shared" si="3"/>
        <v>94307.028010194132</v>
      </c>
      <c r="I45" s="1">
        <f t="shared" si="4"/>
        <v>719.58869140498882</v>
      </c>
      <c r="J45" s="65">
        <f>$C$4*Table32[[#This Row],[opening balance]]</f>
        <v>565.8421680611649</v>
      </c>
      <c r="K45" s="65">
        <f>Table32[[#This Row],[monthly installment]]-Table32[[#This Row],[interest]]</f>
        <v>153.74652334382392</v>
      </c>
      <c r="L45" s="52">
        <f>Table32[[#This Row],[opening balance]]-Table32[[#This Row],[principal paid]]</f>
        <v>94153.281486850305</v>
      </c>
    </row>
    <row r="46" spans="7:12">
      <c r="G46">
        <f t="shared" si="2"/>
        <v>44</v>
      </c>
      <c r="H46" s="52">
        <f t="shared" si="3"/>
        <v>94153.281486850305</v>
      </c>
      <c r="I46" s="1">
        <f t="shared" si="4"/>
        <v>719.58869140498882</v>
      </c>
      <c r="J46" s="65">
        <f>$C$4*Table32[[#This Row],[opening balance]]</f>
        <v>564.91968892110197</v>
      </c>
      <c r="K46" s="65">
        <f>Table32[[#This Row],[monthly installment]]-Table32[[#This Row],[interest]]</f>
        <v>154.66900248388686</v>
      </c>
      <c r="L46" s="52">
        <f>Table32[[#This Row],[opening balance]]-Table32[[#This Row],[principal paid]]</f>
        <v>93998.612484366415</v>
      </c>
    </row>
    <row r="47" spans="7:12">
      <c r="G47">
        <f t="shared" si="2"/>
        <v>45</v>
      </c>
      <c r="H47" s="52">
        <f t="shared" si="3"/>
        <v>93998.612484366415</v>
      </c>
      <c r="I47" s="1">
        <f t="shared" si="4"/>
        <v>719.58869140498882</v>
      </c>
      <c r="J47" s="65">
        <f>$C$4*Table32[[#This Row],[opening balance]]</f>
        <v>563.99167490619857</v>
      </c>
      <c r="K47" s="65">
        <f>Table32[[#This Row],[monthly installment]]-Table32[[#This Row],[interest]]</f>
        <v>155.59701649879025</v>
      </c>
      <c r="L47" s="52">
        <f>Table32[[#This Row],[opening balance]]-Table32[[#This Row],[principal paid]]</f>
        <v>93843.015467867619</v>
      </c>
    </row>
    <row r="48" spans="7:12">
      <c r="G48">
        <f t="shared" si="2"/>
        <v>46</v>
      </c>
      <c r="H48" s="52">
        <f t="shared" si="3"/>
        <v>93843.015467867619</v>
      </c>
      <c r="I48" s="1">
        <f t="shared" si="4"/>
        <v>719.58869140498882</v>
      </c>
      <c r="J48" s="65">
        <f>$C$4*Table32[[#This Row],[opening balance]]</f>
        <v>563.05809280720575</v>
      </c>
      <c r="K48" s="65">
        <f>Table32[[#This Row],[monthly installment]]-Table32[[#This Row],[interest]]</f>
        <v>156.53059859778307</v>
      </c>
      <c r="L48" s="52">
        <f>Table32[[#This Row],[opening balance]]-Table32[[#This Row],[principal paid]]</f>
        <v>93686.484869269829</v>
      </c>
    </row>
    <row r="49" spans="7:12">
      <c r="G49">
        <f t="shared" si="2"/>
        <v>47</v>
      </c>
      <c r="H49" s="52">
        <f t="shared" si="3"/>
        <v>93686.484869269829</v>
      </c>
      <c r="I49" s="1">
        <f t="shared" si="4"/>
        <v>719.58869140498882</v>
      </c>
      <c r="J49" s="65">
        <f>$C$4*Table32[[#This Row],[opening balance]]</f>
        <v>562.11890921561906</v>
      </c>
      <c r="K49" s="65">
        <f>Table32[[#This Row],[monthly installment]]-Table32[[#This Row],[interest]]</f>
        <v>157.46978218936977</v>
      </c>
      <c r="L49" s="52">
        <f>Table32[[#This Row],[opening balance]]-Table32[[#This Row],[principal paid]]</f>
        <v>93529.015087080465</v>
      </c>
    </row>
    <row r="50" spans="7:12">
      <c r="G50">
        <f t="shared" si="2"/>
        <v>48</v>
      </c>
      <c r="H50" s="52">
        <f t="shared" si="3"/>
        <v>93529.015087080465</v>
      </c>
      <c r="I50" s="1">
        <f t="shared" si="4"/>
        <v>719.58869140498882</v>
      </c>
      <c r="J50" s="65">
        <f>$C$4*Table32[[#This Row],[opening balance]]</f>
        <v>561.17409052248286</v>
      </c>
      <c r="K50" s="65">
        <f>Table32[[#This Row],[monthly installment]]-Table32[[#This Row],[interest]]</f>
        <v>158.41460088250597</v>
      </c>
      <c r="L50" s="52">
        <f>Table32[[#This Row],[opening balance]]-Table32[[#This Row],[principal paid]]</f>
        <v>93370.60048619796</v>
      </c>
    </row>
    <row r="51" spans="7:12">
      <c r="G51">
        <f t="shared" si="2"/>
        <v>49</v>
      </c>
      <c r="H51" s="52">
        <f t="shared" si="3"/>
        <v>93370.60048619796</v>
      </c>
      <c r="I51" s="1">
        <f t="shared" si="4"/>
        <v>719.58869140498882</v>
      </c>
      <c r="J51" s="65">
        <f>$C$4*Table32[[#This Row],[opening balance]]</f>
        <v>560.2236029171878</v>
      </c>
      <c r="K51" s="65">
        <f>Table32[[#This Row],[monthly installment]]-Table32[[#This Row],[interest]]</f>
        <v>159.36508848780102</v>
      </c>
      <c r="L51" s="52">
        <f>Table32[[#This Row],[opening balance]]-Table32[[#This Row],[principal paid]]</f>
        <v>93211.235397710159</v>
      </c>
    </row>
    <row r="52" spans="7:12">
      <c r="G52">
        <f t="shared" si="2"/>
        <v>50</v>
      </c>
      <c r="H52" s="52">
        <f t="shared" si="3"/>
        <v>93211.235397710159</v>
      </c>
      <c r="I52" s="1">
        <f t="shared" si="4"/>
        <v>719.58869140498882</v>
      </c>
      <c r="J52" s="65">
        <f>$C$4*Table32[[#This Row],[opening balance]]</f>
        <v>559.26741238626107</v>
      </c>
      <c r="K52" s="65">
        <f>Table32[[#This Row],[monthly installment]]-Table32[[#This Row],[interest]]</f>
        <v>160.32127901872775</v>
      </c>
      <c r="L52" s="52">
        <f>Table32[[#This Row],[opening balance]]-Table32[[#This Row],[principal paid]]</f>
        <v>93050.914118691435</v>
      </c>
    </row>
    <row r="53" spans="7:12">
      <c r="G53">
        <f t="shared" si="2"/>
        <v>51</v>
      </c>
      <c r="H53" s="52">
        <f t="shared" si="3"/>
        <v>93050.914118691435</v>
      </c>
      <c r="I53" s="1">
        <f t="shared" si="4"/>
        <v>719.58869140498882</v>
      </c>
      <c r="J53" s="65">
        <f>$C$4*Table32[[#This Row],[opening balance]]</f>
        <v>558.30548471214865</v>
      </c>
      <c r="K53" s="65">
        <f>Table32[[#This Row],[monthly installment]]-Table32[[#This Row],[interest]]</f>
        <v>161.28320669284017</v>
      </c>
      <c r="L53" s="52">
        <f>Table32[[#This Row],[opening balance]]-Table32[[#This Row],[principal paid]]</f>
        <v>92889.630911998596</v>
      </c>
    </row>
    <row r="54" spans="7:12">
      <c r="G54">
        <f t="shared" si="2"/>
        <v>52</v>
      </c>
      <c r="H54" s="52">
        <f t="shared" si="3"/>
        <v>92889.630911998596</v>
      </c>
      <c r="I54" s="1">
        <f t="shared" si="4"/>
        <v>719.58869140498882</v>
      </c>
      <c r="J54" s="65">
        <f>$C$4*Table32[[#This Row],[opening balance]]</f>
        <v>557.33778547199165</v>
      </c>
      <c r="K54" s="65">
        <f>Table32[[#This Row],[monthly installment]]-Table32[[#This Row],[interest]]</f>
        <v>162.25090593299717</v>
      </c>
      <c r="L54" s="52">
        <f>Table32[[#This Row],[opening balance]]-Table32[[#This Row],[principal paid]]</f>
        <v>92727.380006065592</v>
      </c>
    </row>
    <row r="55" spans="7:12">
      <c r="G55">
        <f t="shared" si="2"/>
        <v>53</v>
      </c>
      <c r="H55" s="52">
        <f t="shared" si="3"/>
        <v>92727.380006065592</v>
      </c>
      <c r="I55" s="1">
        <f t="shared" si="4"/>
        <v>719.58869140498882</v>
      </c>
      <c r="J55" s="65">
        <f>$C$4*Table32[[#This Row],[opening balance]]</f>
        <v>556.36428003639367</v>
      </c>
      <c r="K55" s="65">
        <f>Table32[[#This Row],[monthly installment]]-Table32[[#This Row],[interest]]</f>
        <v>163.22441136859516</v>
      </c>
      <c r="L55" s="52">
        <f>Table32[[#This Row],[opening balance]]-Table32[[#This Row],[principal paid]]</f>
        <v>92564.155594697004</v>
      </c>
    </row>
    <row r="56" spans="7:12">
      <c r="G56">
        <f t="shared" si="2"/>
        <v>54</v>
      </c>
      <c r="H56" s="52">
        <f t="shared" si="3"/>
        <v>92564.155594697004</v>
      </c>
      <c r="I56" s="1">
        <f t="shared" si="4"/>
        <v>719.58869140498882</v>
      </c>
      <c r="J56" s="65">
        <f>$C$4*Table32[[#This Row],[opening balance]]</f>
        <v>555.38493356818208</v>
      </c>
      <c r="K56" s="65">
        <f>Table32[[#This Row],[monthly installment]]-Table32[[#This Row],[interest]]</f>
        <v>164.20375783680674</v>
      </c>
      <c r="L56" s="52">
        <f>Table32[[#This Row],[opening balance]]-Table32[[#This Row],[principal paid]]</f>
        <v>92399.9518368602</v>
      </c>
    </row>
    <row r="57" spans="7:12">
      <c r="G57">
        <f t="shared" si="2"/>
        <v>55</v>
      </c>
      <c r="H57" s="52">
        <f t="shared" si="3"/>
        <v>92399.9518368602</v>
      </c>
      <c r="I57" s="1">
        <f t="shared" si="4"/>
        <v>719.58869140498882</v>
      </c>
      <c r="J57" s="65">
        <f>$C$4*Table32[[#This Row],[opening balance]]</f>
        <v>554.39971102116124</v>
      </c>
      <c r="K57" s="65">
        <f>Table32[[#This Row],[monthly installment]]-Table32[[#This Row],[interest]]</f>
        <v>165.18898038382758</v>
      </c>
      <c r="L57" s="52">
        <f>Table32[[#This Row],[opening balance]]-Table32[[#This Row],[principal paid]]</f>
        <v>92234.762856476373</v>
      </c>
    </row>
    <row r="58" spans="7:12">
      <c r="G58">
        <f t="shared" si="2"/>
        <v>56</v>
      </c>
      <c r="H58" s="52">
        <f t="shared" si="3"/>
        <v>92234.762856476373</v>
      </c>
      <c r="I58" s="1">
        <f t="shared" si="4"/>
        <v>719.58869140498882</v>
      </c>
      <c r="J58" s="65">
        <f>$C$4*Table32[[#This Row],[opening balance]]</f>
        <v>553.40857713885828</v>
      </c>
      <c r="K58" s="65">
        <f>Table32[[#This Row],[monthly installment]]-Table32[[#This Row],[interest]]</f>
        <v>166.18011426613054</v>
      </c>
      <c r="L58" s="52">
        <f>Table32[[#This Row],[opening balance]]-Table32[[#This Row],[principal paid]]</f>
        <v>92068.582742210245</v>
      </c>
    </row>
    <row r="59" spans="7:12">
      <c r="G59">
        <f t="shared" si="2"/>
        <v>57</v>
      </c>
      <c r="H59" s="52">
        <f t="shared" si="3"/>
        <v>92068.582742210245</v>
      </c>
      <c r="I59" s="1">
        <f t="shared" si="4"/>
        <v>719.58869140498882</v>
      </c>
      <c r="J59" s="65">
        <f>$C$4*Table32[[#This Row],[opening balance]]</f>
        <v>552.41149645326152</v>
      </c>
      <c r="K59" s="65">
        <f>Table32[[#This Row],[monthly installment]]-Table32[[#This Row],[interest]]</f>
        <v>167.1771949517273</v>
      </c>
      <c r="L59" s="52">
        <f>Table32[[#This Row],[opening balance]]-Table32[[#This Row],[principal paid]]</f>
        <v>91901.405547258517</v>
      </c>
    </row>
    <row r="60" spans="7:12">
      <c r="G60">
        <f t="shared" si="2"/>
        <v>58</v>
      </c>
      <c r="H60" s="52">
        <f t="shared" si="3"/>
        <v>91901.405547258517</v>
      </c>
      <c r="I60" s="1">
        <f t="shared" si="4"/>
        <v>719.58869140498882</v>
      </c>
      <c r="J60" s="65">
        <f>$C$4*Table32[[#This Row],[opening balance]]</f>
        <v>551.40843328355118</v>
      </c>
      <c r="K60" s="65">
        <f>Table32[[#This Row],[monthly installment]]-Table32[[#This Row],[interest]]</f>
        <v>168.18025812143765</v>
      </c>
      <c r="L60" s="52">
        <f>Table32[[#This Row],[opening balance]]-Table32[[#This Row],[principal paid]]</f>
        <v>91733.225289137074</v>
      </c>
    </row>
    <row r="61" spans="7:12">
      <c r="G61">
        <f t="shared" si="2"/>
        <v>59</v>
      </c>
      <c r="H61" s="52">
        <f t="shared" si="3"/>
        <v>91733.225289137074</v>
      </c>
      <c r="I61" s="1">
        <f t="shared" si="4"/>
        <v>719.58869140498882</v>
      </c>
      <c r="J61" s="65">
        <f>$C$4*Table32[[#This Row],[opening balance]]</f>
        <v>550.39935173482252</v>
      </c>
      <c r="K61" s="65">
        <f>Table32[[#This Row],[monthly installment]]-Table32[[#This Row],[interest]]</f>
        <v>169.18933967016631</v>
      </c>
      <c r="L61" s="52">
        <f>Table32[[#This Row],[opening balance]]-Table32[[#This Row],[principal paid]]</f>
        <v>91564.03594946691</v>
      </c>
    </row>
    <row r="62" spans="7:12">
      <c r="G62">
        <f t="shared" si="2"/>
        <v>60</v>
      </c>
      <c r="H62" s="52">
        <f t="shared" si="3"/>
        <v>91564.03594946691</v>
      </c>
      <c r="I62" s="1">
        <f t="shared" si="4"/>
        <v>719.58869140498882</v>
      </c>
      <c r="J62" s="65">
        <f>$C$4*Table32[[#This Row],[opening balance]]</f>
        <v>549.38421569680156</v>
      </c>
      <c r="K62" s="65">
        <f>Table32[[#This Row],[monthly installment]]-Table32[[#This Row],[interest]]</f>
        <v>170.20447570818726</v>
      </c>
      <c r="L62" s="52">
        <f>Table32[[#This Row],[opening balance]]-Table32[[#This Row],[principal paid]]</f>
        <v>91393.831473758721</v>
      </c>
    </row>
    <row r="63" spans="7:12">
      <c r="G63">
        <f t="shared" si="2"/>
        <v>61</v>
      </c>
      <c r="H63" s="52">
        <f t="shared" si="3"/>
        <v>91393.831473758721</v>
      </c>
      <c r="I63" s="1">
        <f>$C$14</f>
        <v>822.29402381537159</v>
      </c>
      <c r="J63" s="65">
        <f>$C$12*Table32[[#This Row],[opening balance]]</f>
        <v>685.45373605319037</v>
      </c>
      <c r="K63" s="65">
        <f>Table32[[#This Row],[monthly installment]]-Table32[[#This Row],[interest]]</f>
        <v>136.84028776218122</v>
      </c>
      <c r="L63" s="52">
        <f>Table32[[#This Row],[opening balance]]-Table32[[#This Row],[principal paid]]</f>
        <v>91256.991185996536</v>
      </c>
    </row>
    <row r="64" spans="7:12">
      <c r="G64">
        <f t="shared" si="2"/>
        <v>62</v>
      </c>
      <c r="H64" s="52">
        <f t="shared" si="3"/>
        <v>91256.991185996536</v>
      </c>
      <c r="I64" s="1">
        <f t="shared" ref="I64:I127" si="5">$C$14</f>
        <v>822.29402381537159</v>
      </c>
      <c r="J64" s="65">
        <f>$C$12*Table32[[#This Row],[opening balance]]</f>
        <v>684.427433894974</v>
      </c>
      <c r="K64" s="65">
        <f>Table32[[#This Row],[monthly installment]]-Table32[[#This Row],[interest]]</f>
        <v>137.86658992039759</v>
      </c>
      <c r="L64" s="52">
        <f>Table32[[#This Row],[opening balance]]-Table32[[#This Row],[principal paid]]</f>
        <v>91119.124596076144</v>
      </c>
    </row>
    <row r="65" spans="7:12">
      <c r="G65">
        <f t="shared" si="2"/>
        <v>63</v>
      </c>
      <c r="H65" s="52">
        <f t="shared" si="3"/>
        <v>91119.124596076144</v>
      </c>
      <c r="I65" s="1">
        <f t="shared" si="5"/>
        <v>822.29402381537159</v>
      </c>
      <c r="J65" s="65">
        <f>$C$12*Table32[[#This Row],[opening balance]]</f>
        <v>683.39343447057104</v>
      </c>
      <c r="K65" s="65">
        <f>Table32[[#This Row],[monthly installment]]-Table32[[#This Row],[interest]]</f>
        <v>138.90058934480055</v>
      </c>
      <c r="L65" s="52">
        <f>Table32[[#This Row],[opening balance]]-Table32[[#This Row],[principal paid]]</f>
        <v>90980.22400673134</v>
      </c>
    </row>
    <row r="66" spans="7:12">
      <c r="G66">
        <f t="shared" si="2"/>
        <v>64</v>
      </c>
      <c r="H66" s="52">
        <f t="shared" ref="H66:H97" si="6">L65</f>
        <v>90980.22400673134</v>
      </c>
      <c r="I66" s="1">
        <f t="shared" si="5"/>
        <v>822.29402381537159</v>
      </c>
      <c r="J66" s="65">
        <f>$C$12*Table32[[#This Row],[opening balance]]</f>
        <v>682.35168005048502</v>
      </c>
      <c r="K66" s="65">
        <f>Table32[[#This Row],[monthly installment]]-Table32[[#This Row],[interest]]</f>
        <v>139.94234376488657</v>
      </c>
      <c r="L66" s="52">
        <f>Table32[[#This Row],[opening balance]]-Table32[[#This Row],[principal paid]]</f>
        <v>90840.281662966459</v>
      </c>
    </row>
    <row r="67" spans="7:12">
      <c r="G67">
        <f t="shared" si="2"/>
        <v>65</v>
      </c>
      <c r="H67" s="52">
        <f t="shared" si="6"/>
        <v>90840.281662966459</v>
      </c>
      <c r="I67" s="1">
        <f t="shared" si="5"/>
        <v>822.29402381537159</v>
      </c>
      <c r="J67" s="65">
        <f>$C$12*Table32[[#This Row],[opening balance]]</f>
        <v>681.30211247224838</v>
      </c>
      <c r="K67" s="65">
        <f>Table32[[#This Row],[monthly installment]]-Table32[[#This Row],[interest]]</f>
        <v>140.99191134312321</v>
      </c>
      <c r="L67" s="52">
        <f>Table32[[#This Row],[opening balance]]-Table32[[#This Row],[principal paid]]</f>
        <v>90699.289751623335</v>
      </c>
    </row>
    <row r="68" spans="7:12">
      <c r="G68">
        <f t="shared" ref="G68:G84" si="7">1+G67</f>
        <v>66</v>
      </c>
      <c r="H68" s="52">
        <f t="shared" si="6"/>
        <v>90699.289751623335</v>
      </c>
      <c r="I68" s="1">
        <f t="shared" si="5"/>
        <v>822.29402381537159</v>
      </c>
      <c r="J68" s="65">
        <f>$C$12*Table32[[#This Row],[opening balance]]</f>
        <v>680.24467313717503</v>
      </c>
      <c r="K68" s="65">
        <f>Table32[[#This Row],[monthly installment]]-Table32[[#This Row],[interest]]</f>
        <v>142.04935067819656</v>
      </c>
      <c r="L68" s="52">
        <f>Table32[[#This Row],[opening balance]]-Table32[[#This Row],[principal paid]]</f>
        <v>90557.240400945142</v>
      </c>
    </row>
    <row r="69" spans="7:12">
      <c r="G69">
        <f t="shared" si="7"/>
        <v>67</v>
      </c>
      <c r="H69" s="52">
        <f t="shared" si="6"/>
        <v>90557.240400945142</v>
      </c>
      <c r="I69" s="1">
        <f t="shared" si="5"/>
        <v>822.29402381537159</v>
      </c>
      <c r="J69" s="65">
        <f>$C$12*Table32[[#This Row],[opening balance]]</f>
        <v>679.17930300708849</v>
      </c>
      <c r="K69" s="65">
        <f>Table32[[#This Row],[monthly installment]]-Table32[[#This Row],[interest]]</f>
        <v>143.1147208082831</v>
      </c>
      <c r="L69" s="52">
        <f>Table32[[#This Row],[opening balance]]-Table32[[#This Row],[principal paid]]</f>
        <v>90414.125680136858</v>
      </c>
    </row>
    <row r="70" spans="7:12">
      <c r="G70">
        <f t="shared" si="7"/>
        <v>68</v>
      </c>
      <c r="H70" s="52">
        <f t="shared" si="6"/>
        <v>90414.125680136858</v>
      </c>
      <c r="I70" s="1">
        <f t="shared" si="5"/>
        <v>822.29402381537159</v>
      </c>
      <c r="J70" s="65">
        <f>$C$12*Table32[[#This Row],[opening balance]]</f>
        <v>678.10594260102641</v>
      </c>
      <c r="K70" s="65">
        <f>Table32[[#This Row],[monthly installment]]-Table32[[#This Row],[interest]]</f>
        <v>144.18808121434517</v>
      </c>
      <c r="L70" s="52">
        <f>Table32[[#This Row],[opening balance]]-Table32[[#This Row],[principal paid]]</f>
        <v>90269.937598922508</v>
      </c>
    </row>
    <row r="71" spans="7:12">
      <c r="G71">
        <f t="shared" si="7"/>
        <v>69</v>
      </c>
      <c r="H71" s="52">
        <f t="shared" si="6"/>
        <v>90269.937598922508</v>
      </c>
      <c r="I71" s="1">
        <f t="shared" si="5"/>
        <v>822.29402381537159</v>
      </c>
      <c r="J71" s="65">
        <f>$C$12*Table32[[#This Row],[opening balance]]</f>
        <v>677.02453199191882</v>
      </c>
      <c r="K71" s="65">
        <f>Table32[[#This Row],[monthly installment]]-Table32[[#This Row],[interest]]</f>
        <v>145.26949182345277</v>
      </c>
      <c r="L71" s="52">
        <f>Table32[[#This Row],[opening balance]]-Table32[[#This Row],[principal paid]]</f>
        <v>90124.66810709906</v>
      </c>
    </row>
    <row r="72" spans="7:12">
      <c r="G72">
        <f t="shared" si="7"/>
        <v>70</v>
      </c>
      <c r="H72" s="52">
        <f t="shared" si="6"/>
        <v>90124.66810709906</v>
      </c>
      <c r="I72" s="1">
        <f t="shared" si="5"/>
        <v>822.29402381537159</v>
      </c>
      <c r="J72" s="65">
        <f>$C$12*Table32[[#This Row],[opening balance]]</f>
        <v>675.9350108032429</v>
      </c>
      <c r="K72" s="65">
        <f>Table32[[#This Row],[monthly installment]]-Table32[[#This Row],[interest]]</f>
        <v>146.35901301212868</v>
      </c>
      <c r="L72" s="52">
        <f>Table32[[#This Row],[opening balance]]-Table32[[#This Row],[principal paid]]</f>
        <v>89978.30909408693</v>
      </c>
    </row>
    <row r="73" spans="7:12">
      <c r="G73">
        <f t="shared" si="7"/>
        <v>71</v>
      </c>
      <c r="H73" s="52">
        <f t="shared" si="6"/>
        <v>89978.30909408693</v>
      </c>
      <c r="I73" s="1">
        <f t="shared" si="5"/>
        <v>822.29402381537159</v>
      </c>
      <c r="J73" s="65">
        <f>$C$12*Table32[[#This Row],[opening balance]]</f>
        <v>674.83731820565197</v>
      </c>
      <c r="K73" s="65">
        <f>Table32[[#This Row],[monthly installment]]-Table32[[#This Row],[interest]]</f>
        <v>147.45670560971962</v>
      </c>
      <c r="L73" s="52">
        <f>Table32[[#This Row],[opening balance]]-Table32[[#This Row],[principal paid]]</f>
        <v>89830.852388477215</v>
      </c>
    </row>
    <row r="74" spans="7:12">
      <c r="G74">
        <f t="shared" si="7"/>
        <v>72</v>
      </c>
      <c r="H74" s="52">
        <f t="shared" si="6"/>
        <v>89830.852388477215</v>
      </c>
      <c r="I74" s="1">
        <f t="shared" si="5"/>
        <v>822.29402381537159</v>
      </c>
      <c r="J74" s="65">
        <f>$C$12*Table32[[#This Row],[opening balance]]</f>
        <v>673.73139291357904</v>
      </c>
      <c r="K74" s="65">
        <f>Table32[[#This Row],[monthly installment]]-Table32[[#This Row],[interest]]</f>
        <v>148.56263090179255</v>
      </c>
      <c r="L74" s="52">
        <f>Table32[[#This Row],[opening balance]]-Table32[[#This Row],[principal paid]]</f>
        <v>89682.289757575418</v>
      </c>
    </row>
    <row r="75" spans="7:12">
      <c r="G75">
        <f t="shared" si="7"/>
        <v>73</v>
      </c>
      <c r="H75" s="52">
        <f t="shared" si="6"/>
        <v>89682.289757575418</v>
      </c>
      <c r="I75" s="1">
        <f t="shared" si="5"/>
        <v>822.29402381537159</v>
      </c>
      <c r="J75" s="65">
        <f>$C$12*Table32[[#This Row],[opening balance]]</f>
        <v>672.61717318181559</v>
      </c>
      <c r="K75" s="65">
        <f>Table32[[#This Row],[monthly installment]]-Table32[[#This Row],[interest]]</f>
        <v>149.676850633556</v>
      </c>
      <c r="L75" s="52">
        <f>Table32[[#This Row],[opening balance]]-Table32[[#This Row],[principal paid]]</f>
        <v>89532.612906941868</v>
      </c>
    </row>
    <row r="76" spans="7:12">
      <c r="G76">
        <f t="shared" si="7"/>
        <v>74</v>
      </c>
      <c r="H76" s="52">
        <f t="shared" si="6"/>
        <v>89532.612906941868</v>
      </c>
      <c r="I76" s="1">
        <f t="shared" si="5"/>
        <v>822.29402381537159</v>
      </c>
      <c r="J76" s="65">
        <f>$C$12*Table32[[#This Row],[opening balance]]</f>
        <v>671.49459680206394</v>
      </c>
      <c r="K76" s="65">
        <f>Table32[[#This Row],[monthly installment]]-Table32[[#This Row],[interest]]</f>
        <v>150.79942701330765</v>
      </c>
      <c r="L76" s="52">
        <f>Table32[[#This Row],[opening balance]]-Table32[[#This Row],[principal paid]]</f>
        <v>89381.813479928562</v>
      </c>
    </row>
    <row r="77" spans="7:12">
      <c r="G77">
        <f t="shared" si="7"/>
        <v>75</v>
      </c>
      <c r="H77" s="52">
        <f t="shared" si="6"/>
        <v>89381.813479928562</v>
      </c>
      <c r="I77" s="1">
        <f t="shared" si="5"/>
        <v>822.29402381537159</v>
      </c>
      <c r="J77" s="65">
        <f>$C$12*Table32[[#This Row],[opening balance]]</f>
        <v>670.36360109946418</v>
      </c>
      <c r="K77" s="65">
        <f>Table32[[#This Row],[monthly installment]]-Table32[[#This Row],[interest]]</f>
        <v>151.93042271590741</v>
      </c>
      <c r="L77" s="52">
        <f>Table32[[#This Row],[opening balance]]-Table32[[#This Row],[principal paid]]</f>
        <v>89229.883057212661</v>
      </c>
    </row>
    <row r="78" spans="7:12">
      <c r="G78">
        <f t="shared" si="7"/>
        <v>76</v>
      </c>
      <c r="H78" s="52">
        <f t="shared" si="6"/>
        <v>89229.883057212661</v>
      </c>
      <c r="I78" s="1">
        <f t="shared" si="5"/>
        <v>822.29402381537159</v>
      </c>
      <c r="J78" s="65">
        <f>$C$12*Table32[[#This Row],[opening balance]]</f>
        <v>669.22412292909496</v>
      </c>
      <c r="K78" s="65">
        <f>Table32[[#This Row],[monthly installment]]-Table32[[#This Row],[interest]]</f>
        <v>153.06990088627663</v>
      </c>
      <c r="L78" s="52">
        <f>Table32[[#This Row],[opening balance]]-Table32[[#This Row],[principal paid]]</f>
        <v>89076.813156326389</v>
      </c>
    </row>
    <row r="79" spans="7:12">
      <c r="G79">
        <f t="shared" si="7"/>
        <v>77</v>
      </c>
      <c r="H79" s="52">
        <f t="shared" si="6"/>
        <v>89076.813156326389</v>
      </c>
      <c r="I79" s="1">
        <f t="shared" si="5"/>
        <v>822.29402381537159</v>
      </c>
      <c r="J79" s="65">
        <f>$C$12*Table32[[#This Row],[opening balance]]</f>
        <v>668.07609867244787</v>
      </c>
      <c r="K79" s="65">
        <f>Table32[[#This Row],[monthly installment]]-Table32[[#This Row],[interest]]</f>
        <v>154.21792514292372</v>
      </c>
      <c r="L79" s="52">
        <f>Table32[[#This Row],[opening balance]]-Table32[[#This Row],[principal paid]]</f>
        <v>88922.59523118347</v>
      </c>
    </row>
    <row r="80" spans="7:12">
      <c r="G80">
        <f t="shared" si="7"/>
        <v>78</v>
      </c>
      <c r="H80" s="52">
        <f t="shared" si="6"/>
        <v>88922.59523118347</v>
      </c>
      <c r="I80" s="1">
        <f t="shared" si="5"/>
        <v>822.29402381537159</v>
      </c>
      <c r="J80" s="65">
        <f>$C$12*Table32[[#This Row],[opening balance]]</f>
        <v>666.91946423387606</v>
      </c>
      <c r="K80" s="65">
        <f>Table32[[#This Row],[monthly installment]]-Table32[[#This Row],[interest]]</f>
        <v>155.37455958149553</v>
      </c>
      <c r="L80" s="52">
        <f>Table32[[#This Row],[opening balance]]-Table32[[#This Row],[principal paid]]</f>
        <v>88767.220671601972</v>
      </c>
    </row>
    <row r="81" spans="7:12">
      <c r="G81">
        <f t="shared" si="7"/>
        <v>79</v>
      </c>
      <c r="H81" s="52">
        <f t="shared" si="6"/>
        <v>88767.220671601972</v>
      </c>
      <c r="I81" s="1">
        <f t="shared" si="5"/>
        <v>822.29402381537159</v>
      </c>
      <c r="J81" s="65">
        <f>$C$12*Table32[[#This Row],[opening balance]]</f>
        <v>665.75415503701481</v>
      </c>
      <c r="K81" s="65">
        <f>Table32[[#This Row],[monthly installment]]-Table32[[#This Row],[interest]]</f>
        <v>156.53986877835678</v>
      </c>
      <c r="L81" s="52">
        <f>Table32[[#This Row],[opening balance]]-Table32[[#This Row],[principal paid]]</f>
        <v>88610.680802823612</v>
      </c>
    </row>
    <row r="82" spans="7:12">
      <c r="G82">
        <f t="shared" si="7"/>
        <v>80</v>
      </c>
      <c r="H82" s="52">
        <f t="shared" si="6"/>
        <v>88610.680802823612</v>
      </c>
      <c r="I82" s="1">
        <f t="shared" si="5"/>
        <v>822.29402381537159</v>
      </c>
      <c r="J82" s="65">
        <f>$C$12*Table32[[#This Row],[opening balance]]</f>
        <v>664.58010602117702</v>
      </c>
      <c r="K82" s="65">
        <f>Table32[[#This Row],[monthly installment]]-Table32[[#This Row],[interest]]</f>
        <v>157.71391779419457</v>
      </c>
      <c r="L82" s="52">
        <f>Table32[[#This Row],[opening balance]]-Table32[[#This Row],[principal paid]]</f>
        <v>88452.966885029411</v>
      </c>
    </row>
    <row r="83" spans="7:12">
      <c r="G83">
        <f t="shared" si="7"/>
        <v>81</v>
      </c>
      <c r="H83" s="52">
        <f t="shared" si="6"/>
        <v>88452.966885029411</v>
      </c>
      <c r="I83" s="1">
        <f t="shared" si="5"/>
        <v>822.29402381537159</v>
      </c>
      <c r="J83" s="65">
        <f>$C$12*Table32[[#This Row],[opening balance]]</f>
        <v>663.39725163772061</v>
      </c>
      <c r="K83" s="65">
        <f>Table32[[#This Row],[monthly installment]]-Table32[[#This Row],[interest]]</f>
        <v>158.89677217765097</v>
      </c>
      <c r="L83" s="52">
        <f>Table32[[#This Row],[opening balance]]-Table32[[#This Row],[principal paid]]</f>
        <v>88294.070112851754</v>
      </c>
    </row>
    <row r="84" spans="7:12">
      <c r="G84">
        <f t="shared" si="7"/>
        <v>82</v>
      </c>
      <c r="H84" s="52">
        <f t="shared" si="6"/>
        <v>88294.070112851754</v>
      </c>
      <c r="I84" s="1">
        <f t="shared" si="5"/>
        <v>822.29402381537159</v>
      </c>
      <c r="J84" s="65">
        <f>$C$12*Table32[[#This Row],[opening balance]]</f>
        <v>662.20552584638813</v>
      </c>
      <c r="K84" s="65">
        <f>Table32[[#This Row],[monthly installment]]-Table32[[#This Row],[interest]]</f>
        <v>160.08849796898346</v>
      </c>
      <c r="L84" s="52">
        <f>Table32[[#This Row],[opening balance]]-Table32[[#This Row],[principal paid]]</f>
        <v>88133.981614882767</v>
      </c>
    </row>
    <row r="85" spans="7:12">
      <c r="G85">
        <f>1+G84</f>
        <v>83</v>
      </c>
      <c r="H85" s="52">
        <f t="shared" si="6"/>
        <v>88133.981614882767</v>
      </c>
      <c r="I85" s="1">
        <f t="shared" si="5"/>
        <v>822.29402381537159</v>
      </c>
      <c r="J85" s="65">
        <f>$C$12*Table32[[#This Row],[opening balance]]</f>
        <v>661.0048621116207</v>
      </c>
      <c r="K85" s="65">
        <f>Table32[[#This Row],[monthly installment]]-Table32[[#This Row],[interest]]</f>
        <v>161.28916170375089</v>
      </c>
      <c r="L85" s="52">
        <f>Table32[[#This Row],[opening balance]]-Table32[[#This Row],[principal paid]]</f>
        <v>87972.692453179014</v>
      </c>
    </row>
    <row r="86" spans="7:12">
      <c r="G86">
        <f t="shared" ref="G86:G149" si="8">1+G85</f>
        <v>84</v>
      </c>
      <c r="H86" s="52">
        <f t="shared" si="6"/>
        <v>87972.692453179014</v>
      </c>
      <c r="I86" s="1">
        <f t="shared" si="5"/>
        <v>822.29402381537159</v>
      </c>
      <c r="J86" s="65">
        <f>$C$12*Table32[[#This Row],[opening balance]]</f>
        <v>659.79519339884257</v>
      </c>
      <c r="K86" s="65">
        <f>Table32[[#This Row],[monthly installment]]-Table32[[#This Row],[interest]]</f>
        <v>162.49883041652902</v>
      </c>
      <c r="L86" s="52">
        <f>Table32[[#This Row],[opening balance]]-Table32[[#This Row],[principal paid]]</f>
        <v>87810.193622762483</v>
      </c>
    </row>
    <row r="87" spans="7:12">
      <c r="G87">
        <f t="shared" si="8"/>
        <v>85</v>
      </c>
      <c r="H87" s="52">
        <f t="shared" si="6"/>
        <v>87810.193622762483</v>
      </c>
      <c r="I87" s="1">
        <f t="shared" si="5"/>
        <v>822.29402381537159</v>
      </c>
      <c r="J87" s="65">
        <f>$C$12*Table32[[#This Row],[opening balance]]</f>
        <v>658.57645217071865</v>
      </c>
      <c r="K87" s="65">
        <f>Table32[[#This Row],[monthly installment]]-Table32[[#This Row],[interest]]</f>
        <v>163.71757164465293</v>
      </c>
      <c r="L87" s="52">
        <f>Table32[[#This Row],[opening balance]]-Table32[[#This Row],[principal paid]]</f>
        <v>87646.476051117832</v>
      </c>
    </row>
    <row r="88" spans="7:12">
      <c r="G88">
        <f t="shared" si="8"/>
        <v>86</v>
      </c>
      <c r="H88" s="52">
        <f t="shared" si="6"/>
        <v>87646.476051117832</v>
      </c>
      <c r="I88" s="1">
        <f t="shared" si="5"/>
        <v>822.29402381537159</v>
      </c>
      <c r="J88" s="65">
        <f>$C$12*Table32[[#This Row],[opening balance]]</f>
        <v>657.34857038338373</v>
      </c>
      <c r="K88" s="65">
        <f>Table32[[#This Row],[monthly installment]]-Table32[[#This Row],[interest]]</f>
        <v>164.94545343198786</v>
      </c>
      <c r="L88" s="52">
        <f>Table32[[#This Row],[opening balance]]-Table32[[#This Row],[principal paid]]</f>
        <v>87481.530597685851</v>
      </c>
    </row>
    <row r="89" spans="7:12">
      <c r="G89">
        <f t="shared" si="8"/>
        <v>87</v>
      </c>
      <c r="H89" s="52">
        <f t="shared" si="6"/>
        <v>87481.530597685851</v>
      </c>
      <c r="I89" s="1">
        <f t="shared" si="5"/>
        <v>822.29402381537159</v>
      </c>
      <c r="J89" s="65">
        <f>$C$12*Table32[[#This Row],[opening balance]]</f>
        <v>656.11147948264386</v>
      </c>
      <c r="K89" s="65">
        <f>Table32[[#This Row],[monthly installment]]-Table32[[#This Row],[interest]]</f>
        <v>166.18254433272773</v>
      </c>
      <c r="L89" s="52">
        <f>Table32[[#This Row],[opening balance]]-Table32[[#This Row],[principal paid]]</f>
        <v>87315.348053353126</v>
      </c>
    </row>
    <row r="90" spans="7:12">
      <c r="G90">
        <f t="shared" si="8"/>
        <v>88</v>
      </c>
      <c r="H90" s="52">
        <f t="shared" si="6"/>
        <v>87315.348053353126</v>
      </c>
      <c r="I90" s="1">
        <f t="shared" si="5"/>
        <v>822.29402381537159</v>
      </c>
      <c r="J90" s="65">
        <f>$C$12*Table32[[#This Row],[opening balance]]</f>
        <v>654.86511040014841</v>
      </c>
      <c r="K90" s="65">
        <f>Table32[[#This Row],[monthly installment]]-Table32[[#This Row],[interest]]</f>
        <v>167.42891341522318</v>
      </c>
      <c r="L90" s="52">
        <f>Table32[[#This Row],[opening balance]]-Table32[[#This Row],[principal paid]]</f>
        <v>87147.919139937905</v>
      </c>
    </row>
    <row r="91" spans="7:12">
      <c r="G91">
        <f t="shared" si="8"/>
        <v>89</v>
      </c>
      <c r="H91" s="52">
        <f t="shared" si="6"/>
        <v>87147.919139937905</v>
      </c>
      <c r="I91" s="1">
        <f t="shared" si="5"/>
        <v>822.29402381537159</v>
      </c>
      <c r="J91" s="65">
        <f>$C$12*Table32[[#This Row],[opening balance]]</f>
        <v>653.60939354953427</v>
      </c>
      <c r="K91" s="65">
        <f>Table32[[#This Row],[monthly installment]]-Table32[[#This Row],[interest]]</f>
        <v>168.68463026583731</v>
      </c>
      <c r="L91" s="52">
        <f>Table32[[#This Row],[opening balance]]-Table32[[#This Row],[principal paid]]</f>
        <v>86979.234509672067</v>
      </c>
    </row>
    <row r="92" spans="7:12">
      <c r="G92">
        <f t="shared" si="8"/>
        <v>90</v>
      </c>
      <c r="H92" s="52">
        <f t="shared" si="6"/>
        <v>86979.234509672067</v>
      </c>
      <c r="I92" s="1">
        <f t="shared" si="5"/>
        <v>822.29402381537159</v>
      </c>
      <c r="J92" s="65">
        <f>$C$12*Table32[[#This Row],[opening balance]]</f>
        <v>652.3442588225405</v>
      </c>
      <c r="K92" s="65">
        <f>Table32[[#This Row],[monthly installment]]-Table32[[#This Row],[interest]]</f>
        <v>169.94976499283109</v>
      </c>
      <c r="L92" s="52">
        <f>Table32[[#This Row],[opening balance]]-Table32[[#This Row],[principal paid]]</f>
        <v>86809.284744679229</v>
      </c>
    </row>
    <row r="93" spans="7:12">
      <c r="G93">
        <f t="shared" si="8"/>
        <v>91</v>
      </c>
      <c r="H93" s="52">
        <f t="shared" si="6"/>
        <v>86809.284744679229</v>
      </c>
      <c r="I93" s="1">
        <f t="shared" si="5"/>
        <v>822.29402381537159</v>
      </c>
      <c r="J93" s="65">
        <f>$C$12*Table32[[#This Row],[opening balance]]</f>
        <v>651.06963558509415</v>
      </c>
      <c r="K93" s="65">
        <f>Table32[[#This Row],[monthly installment]]-Table32[[#This Row],[interest]]</f>
        <v>171.22438823027744</v>
      </c>
      <c r="L93" s="52">
        <f>Table32[[#This Row],[opening balance]]-Table32[[#This Row],[principal paid]]</f>
        <v>86638.060356448957</v>
      </c>
    </row>
    <row r="94" spans="7:12">
      <c r="G94">
        <f t="shared" si="8"/>
        <v>92</v>
      </c>
      <c r="H94" s="52">
        <f t="shared" si="6"/>
        <v>86638.060356448957</v>
      </c>
      <c r="I94" s="1">
        <f t="shared" si="5"/>
        <v>822.29402381537159</v>
      </c>
      <c r="J94" s="65">
        <f>$C$12*Table32[[#This Row],[opening balance]]</f>
        <v>649.7854526733671</v>
      </c>
      <c r="K94" s="65">
        <f>Table32[[#This Row],[monthly installment]]-Table32[[#This Row],[interest]]</f>
        <v>172.50857114200448</v>
      </c>
      <c r="L94" s="52">
        <f>Table32[[#This Row],[opening balance]]-Table32[[#This Row],[principal paid]]</f>
        <v>86465.551785306947</v>
      </c>
    </row>
    <row r="95" spans="7:12">
      <c r="G95">
        <f t="shared" si="8"/>
        <v>93</v>
      </c>
      <c r="H95" s="52">
        <f t="shared" si="6"/>
        <v>86465.551785306947</v>
      </c>
      <c r="I95" s="1">
        <f t="shared" si="5"/>
        <v>822.29402381537159</v>
      </c>
      <c r="J95" s="65">
        <f>$C$12*Table32[[#This Row],[opening balance]]</f>
        <v>648.49163838980212</v>
      </c>
      <c r="K95" s="65">
        <f>Table32[[#This Row],[monthly installment]]-Table32[[#This Row],[interest]]</f>
        <v>173.80238542556947</v>
      </c>
      <c r="L95" s="52">
        <f>Table32[[#This Row],[opening balance]]-Table32[[#This Row],[principal paid]]</f>
        <v>86291.749399881373</v>
      </c>
    </row>
    <row r="96" spans="7:12">
      <c r="G96">
        <f t="shared" si="8"/>
        <v>94</v>
      </c>
      <c r="H96" s="52">
        <f t="shared" si="6"/>
        <v>86291.749399881373</v>
      </c>
      <c r="I96" s="1">
        <f t="shared" si="5"/>
        <v>822.29402381537159</v>
      </c>
      <c r="J96" s="65">
        <f>$C$12*Table32[[#This Row],[opening balance]]</f>
        <v>647.18812049911025</v>
      </c>
      <c r="K96" s="65">
        <f>Table32[[#This Row],[monthly installment]]-Table32[[#This Row],[interest]]</f>
        <v>175.10590331626133</v>
      </c>
      <c r="L96" s="52">
        <f>Table32[[#This Row],[opening balance]]-Table32[[#This Row],[principal paid]]</f>
        <v>86116.643496565113</v>
      </c>
    </row>
    <row r="97" spans="7:12">
      <c r="G97">
        <f t="shared" si="8"/>
        <v>95</v>
      </c>
      <c r="H97" s="52">
        <f t="shared" si="6"/>
        <v>86116.643496565113</v>
      </c>
      <c r="I97" s="1">
        <f t="shared" si="5"/>
        <v>822.29402381537159</v>
      </c>
      <c r="J97" s="65">
        <f>$C$12*Table32[[#This Row],[opening balance]]</f>
        <v>645.87482622423829</v>
      </c>
      <c r="K97" s="65">
        <f>Table32[[#This Row],[monthly installment]]-Table32[[#This Row],[interest]]</f>
        <v>176.4191975911333</v>
      </c>
      <c r="L97" s="52">
        <f>Table32[[#This Row],[opening balance]]-Table32[[#This Row],[principal paid]]</f>
        <v>85940.224298973975</v>
      </c>
    </row>
    <row r="98" spans="7:12">
      <c r="G98">
        <f t="shared" si="8"/>
        <v>96</v>
      </c>
      <c r="H98" s="52">
        <f t="shared" ref="H98:H129" si="9">L97</f>
        <v>85940.224298973975</v>
      </c>
      <c r="I98" s="1">
        <f t="shared" si="5"/>
        <v>822.29402381537159</v>
      </c>
      <c r="J98" s="65">
        <f>$C$12*Table32[[#This Row],[opening balance]]</f>
        <v>644.55168224230476</v>
      </c>
      <c r="K98" s="65">
        <f>Table32[[#This Row],[monthly installment]]-Table32[[#This Row],[interest]]</f>
        <v>177.74234157306682</v>
      </c>
      <c r="L98" s="52">
        <f>Table32[[#This Row],[opening balance]]-Table32[[#This Row],[principal paid]]</f>
        <v>85762.481957400902</v>
      </c>
    </row>
    <row r="99" spans="7:12">
      <c r="G99">
        <f t="shared" si="8"/>
        <v>97</v>
      </c>
      <c r="H99" s="52">
        <f t="shared" si="9"/>
        <v>85762.481957400902</v>
      </c>
      <c r="I99" s="1">
        <f t="shared" si="5"/>
        <v>822.29402381537159</v>
      </c>
      <c r="J99" s="65">
        <f>$C$12*Table32[[#This Row],[opening balance]]</f>
        <v>643.21861468050679</v>
      </c>
      <c r="K99" s="65">
        <f>Table32[[#This Row],[monthly installment]]-Table32[[#This Row],[interest]]</f>
        <v>179.0754091348648</v>
      </c>
      <c r="L99" s="52">
        <f>Table32[[#This Row],[opening balance]]-Table32[[#This Row],[principal paid]]</f>
        <v>85583.406548266037</v>
      </c>
    </row>
    <row r="100" spans="7:12">
      <c r="G100">
        <f t="shared" si="8"/>
        <v>98</v>
      </c>
      <c r="H100" s="52">
        <f t="shared" si="9"/>
        <v>85583.406548266037</v>
      </c>
      <c r="I100" s="1">
        <f t="shared" si="5"/>
        <v>822.29402381537159</v>
      </c>
      <c r="J100" s="65">
        <f>$C$12*Table32[[#This Row],[opening balance]]</f>
        <v>641.87554911199527</v>
      </c>
      <c r="K100" s="65">
        <f>Table32[[#This Row],[monthly installment]]-Table32[[#This Row],[interest]]</f>
        <v>180.41847470337632</v>
      </c>
      <c r="L100" s="52">
        <f>Table32[[#This Row],[opening balance]]-Table32[[#This Row],[principal paid]]</f>
        <v>85402.988073562665</v>
      </c>
    </row>
    <row r="101" spans="7:12">
      <c r="G101">
        <f t="shared" si="8"/>
        <v>99</v>
      </c>
      <c r="H101" s="52">
        <f t="shared" si="9"/>
        <v>85402.988073562665</v>
      </c>
      <c r="I101" s="1">
        <f t="shared" si="5"/>
        <v>822.29402381537159</v>
      </c>
      <c r="J101" s="65">
        <f>$C$12*Table32[[#This Row],[opening balance]]</f>
        <v>640.52241055171999</v>
      </c>
      <c r="K101" s="65">
        <f>Table32[[#This Row],[monthly installment]]-Table32[[#This Row],[interest]]</f>
        <v>181.7716132636516</v>
      </c>
      <c r="L101" s="52">
        <f>Table32[[#This Row],[opening balance]]-Table32[[#This Row],[principal paid]]</f>
        <v>85221.216460299009</v>
      </c>
    </row>
    <row r="102" spans="7:12">
      <c r="G102">
        <f t="shared" si="8"/>
        <v>100</v>
      </c>
      <c r="H102" s="52">
        <f t="shared" si="9"/>
        <v>85221.216460299009</v>
      </c>
      <c r="I102" s="1">
        <f t="shared" si="5"/>
        <v>822.29402381537159</v>
      </c>
      <c r="J102" s="65">
        <f>$C$12*Table32[[#This Row],[opening balance]]</f>
        <v>639.15912345224251</v>
      </c>
      <c r="K102" s="65">
        <f>Table32[[#This Row],[monthly installment]]-Table32[[#This Row],[interest]]</f>
        <v>183.13490036312908</v>
      </c>
      <c r="L102" s="52">
        <f>Table32[[#This Row],[opening balance]]-Table32[[#This Row],[principal paid]]</f>
        <v>85038.081559935876</v>
      </c>
    </row>
    <row r="103" spans="7:12">
      <c r="G103">
        <f t="shared" si="8"/>
        <v>101</v>
      </c>
      <c r="H103" s="52">
        <f t="shared" si="9"/>
        <v>85038.081559935876</v>
      </c>
      <c r="I103" s="1">
        <f t="shared" si="5"/>
        <v>822.29402381537159</v>
      </c>
      <c r="J103" s="65">
        <f>$C$12*Table32[[#This Row],[opening balance]]</f>
        <v>637.785611699519</v>
      </c>
      <c r="K103" s="65">
        <f>Table32[[#This Row],[monthly installment]]-Table32[[#This Row],[interest]]</f>
        <v>184.50841211585259</v>
      </c>
      <c r="L103" s="52">
        <f>Table32[[#This Row],[opening balance]]-Table32[[#This Row],[principal paid]]</f>
        <v>84853.573147820018</v>
      </c>
    </row>
    <row r="104" spans="7:12">
      <c r="G104">
        <f t="shared" si="8"/>
        <v>102</v>
      </c>
      <c r="H104" s="52">
        <f t="shared" si="9"/>
        <v>84853.573147820018</v>
      </c>
      <c r="I104" s="1">
        <f t="shared" si="5"/>
        <v>822.29402381537159</v>
      </c>
      <c r="J104" s="65">
        <f>$C$12*Table32[[#This Row],[opening balance]]</f>
        <v>636.4017986086501</v>
      </c>
      <c r="K104" s="65">
        <f>Table32[[#This Row],[monthly installment]]-Table32[[#This Row],[interest]]</f>
        <v>185.89222520672149</v>
      </c>
      <c r="L104" s="52">
        <f>Table32[[#This Row],[opening balance]]-Table32[[#This Row],[principal paid]]</f>
        <v>84667.68092261329</v>
      </c>
    </row>
    <row r="105" spans="7:12">
      <c r="G105">
        <f t="shared" si="8"/>
        <v>103</v>
      </c>
      <c r="H105" s="52">
        <f t="shared" si="9"/>
        <v>84667.68092261329</v>
      </c>
      <c r="I105" s="1">
        <f t="shared" si="5"/>
        <v>822.29402381537159</v>
      </c>
      <c r="J105" s="65">
        <f>$C$12*Table32[[#This Row],[opening balance]]</f>
        <v>635.00760691959965</v>
      </c>
      <c r="K105" s="65">
        <f>Table32[[#This Row],[monthly installment]]-Table32[[#This Row],[interest]]</f>
        <v>187.28641689577194</v>
      </c>
      <c r="L105" s="52">
        <f>Table32[[#This Row],[opening balance]]-Table32[[#This Row],[principal paid]]</f>
        <v>84480.394505717515</v>
      </c>
    </row>
    <row r="106" spans="7:12">
      <c r="G106">
        <f>1+G105</f>
        <v>104</v>
      </c>
      <c r="H106" s="52">
        <f t="shared" si="9"/>
        <v>84480.394505717515</v>
      </c>
      <c r="I106" s="1">
        <f t="shared" si="5"/>
        <v>822.29402381537159</v>
      </c>
      <c r="J106" s="65">
        <f>$C$12*Table32[[#This Row],[opening balance]]</f>
        <v>633.6029587928814</v>
      </c>
      <c r="K106" s="65">
        <f>Table32[[#This Row],[monthly installment]]-Table32[[#This Row],[interest]]</f>
        <v>188.69106502249019</v>
      </c>
      <c r="L106" s="52">
        <f>Table32[[#This Row],[opening balance]]-Table32[[#This Row],[principal paid]]</f>
        <v>84291.703440695026</v>
      </c>
    </row>
    <row r="107" spans="7:12">
      <c r="G107">
        <f t="shared" si="8"/>
        <v>105</v>
      </c>
      <c r="H107" s="52">
        <f t="shared" si="9"/>
        <v>84291.703440695026</v>
      </c>
      <c r="I107" s="1">
        <f t="shared" si="5"/>
        <v>822.29402381537159</v>
      </c>
      <c r="J107" s="65">
        <f>$C$12*Table32[[#This Row],[opening balance]]</f>
        <v>632.18777580521271</v>
      </c>
      <c r="K107" s="65">
        <f>Table32[[#This Row],[monthly installment]]-Table32[[#This Row],[interest]]</f>
        <v>190.10624801015888</v>
      </c>
      <c r="L107" s="52">
        <f>Table32[[#This Row],[opening balance]]-Table32[[#This Row],[principal paid]]</f>
        <v>84101.597192684872</v>
      </c>
    </row>
    <row r="108" spans="7:12">
      <c r="G108">
        <f t="shared" si="8"/>
        <v>106</v>
      </c>
      <c r="H108" s="52">
        <f t="shared" si="9"/>
        <v>84101.597192684872</v>
      </c>
      <c r="I108" s="1">
        <f t="shared" si="5"/>
        <v>822.29402381537159</v>
      </c>
      <c r="J108" s="65">
        <f>$C$12*Table32[[#This Row],[opening balance]]</f>
        <v>630.76197894513655</v>
      </c>
      <c r="K108" s="65">
        <f>Table32[[#This Row],[monthly installment]]-Table32[[#This Row],[interest]]</f>
        <v>191.53204487023504</v>
      </c>
      <c r="L108" s="52">
        <f>Table32[[#This Row],[opening balance]]-Table32[[#This Row],[principal paid]]</f>
        <v>83910.065147814632</v>
      </c>
    </row>
    <row r="109" spans="7:12">
      <c r="G109">
        <f t="shared" si="8"/>
        <v>107</v>
      </c>
      <c r="H109" s="52">
        <f t="shared" si="9"/>
        <v>83910.065147814632</v>
      </c>
      <c r="I109" s="1">
        <f t="shared" si="5"/>
        <v>822.29402381537159</v>
      </c>
      <c r="J109" s="65">
        <f>$C$12*Table32[[#This Row],[opening balance]]</f>
        <v>629.3254886086097</v>
      </c>
      <c r="K109" s="65">
        <f>Table32[[#This Row],[monthly installment]]-Table32[[#This Row],[interest]]</f>
        <v>192.96853520676189</v>
      </c>
      <c r="L109" s="52">
        <f>Table32[[#This Row],[opening balance]]-Table32[[#This Row],[principal paid]]</f>
        <v>83717.096612607871</v>
      </c>
    </row>
    <row r="110" spans="7:12">
      <c r="G110">
        <f t="shared" si="8"/>
        <v>108</v>
      </c>
      <c r="H110" s="52">
        <f t="shared" si="9"/>
        <v>83717.096612607871</v>
      </c>
      <c r="I110" s="1">
        <f t="shared" si="5"/>
        <v>822.29402381537159</v>
      </c>
      <c r="J110" s="65">
        <f>$C$12*Table32[[#This Row],[opening balance]]</f>
        <v>627.87822459455901</v>
      </c>
      <c r="K110" s="65">
        <f>Table32[[#This Row],[monthly installment]]-Table32[[#This Row],[interest]]</f>
        <v>194.41579922081257</v>
      </c>
      <c r="L110" s="52">
        <f>Table32[[#This Row],[opening balance]]-Table32[[#This Row],[principal paid]]</f>
        <v>83522.680813387065</v>
      </c>
    </row>
    <row r="111" spans="7:12">
      <c r="G111">
        <f t="shared" si="8"/>
        <v>109</v>
      </c>
      <c r="H111" s="52">
        <f t="shared" si="9"/>
        <v>83522.680813387065</v>
      </c>
      <c r="I111" s="1">
        <f t="shared" si="5"/>
        <v>822.29402381537159</v>
      </c>
      <c r="J111" s="65">
        <f>$C$12*Table32[[#This Row],[opening balance]]</f>
        <v>626.42010610040302</v>
      </c>
      <c r="K111" s="65">
        <f>Table32[[#This Row],[monthly installment]]-Table32[[#This Row],[interest]]</f>
        <v>195.87391771496857</v>
      </c>
      <c r="L111" s="52">
        <f>Table32[[#This Row],[opening balance]]-Table32[[#This Row],[principal paid]]</f>
        <v>83326.806895672096</v>
      </c>
    </row>
    <row r="112" spans="7:12">
      <c r="G112">
        <f t="shared" si="8"/>
        <v>110</v>
      </c>
      <c r="H112" s="52">
        <f t="shared" si="9"/>
        <v>83326.806895672096</v>
      </c>
      <c r="I112" s="1">
        <f t="shared" si="5"/>
        <v>822.29402381537159</v>
      </c>
      <c r="J112" s="65">
        <f>$C$12*Table32[[#This Row],[opening balance]]</f>
        <v>624.95105171754074</v>
      </c>
      <c r="K112" s="65">
        <f>Table32[[#This Row],[monthly installment]]-Table32[[#This Row],[interest]]</f>
        <v>197.34297209783085</v>
      </c>
      <c r="L112" s="52">
        <f>Table32[[#This Row],[opening balance]]-Table32[[#This Row],[principal paid]]</f>
        <v>83129.463923574265</v>
      </c>
    </row>
    <row r="113" spans="7:12">
      <c r="G113">
        <f t="shared" si="8"/>
        <v>111</v>
      </c>
      <c r="H113" s="52">
        <f t="shared" si="9"/>
        <v>83129.463923574265</v>
      </c>
      <c r="I113" s="1">
        <f t="shared" si="5"/>
        <v>822.29402381537159</v>
      </c>
      <c r="J113" s="65">
        <f>$C$12*Table32[[#This Row],[opening balance]]</f>
        <v>623.47097942680693</v>
      </c>
      <c r="K113" s="65">
        <f>Table32[[#This Row],[monthly installment]]-Table32[[#This Row],[interest]]</f>
        <v>198.82304438856465</v>
      </c>
      <c r="L113" s="52">
        <f>Table32[[#This Row],[opening balance]]-Table32[[#This Row],[principal paid]]</f>
        <v>82930.640879185696</v>
      </c>
    </row>
    <row r="114" spans="7:12">
      <c r="G114">
        <f t="shared" si="8"/>
        <v>112</v>
      </c>
      <c r="H114" s="52">
        <f t="shared" si="9"/>
        <v>82930.640879185696</v>
      </c>
      <c r="I114" s="1">
        <f t="shared" si="5"/>
        <v>822.29402381537159</v>
      </c>
      <c r="J114" s="65">
        <f>$C$12*Table32[[#This Row],[opening balance]]</f>
        <v>621.9798065938927</v>
      </c>
      <c r="K114" s="65">
        <f>Table32[[#This Row],[monthly installment]]-Table32[[#This Row],[interest]]</f>
        <v>200.31421722147888</v>
      </c>
      <c r="L114" s="52">
        <f>Table32[[#This Row],[opening balance]]-Table32[[#This Row],[principal paid]]</f>
        <v>82730.326661964224</v>
      </c>
    </row>
    <row r="115" spans="7:12">
      <c r="G115">
        <f t="shared" si="8"/>
        <v>113</v>
      </c>
      <c r="H115" s="52">
        <f t="shared" si="9"/>
        <v>82730.326661964224</v>
      </c>
      <c r="I115" s="1">
        <f t="shared" si="5"/>
        <v>822.29402381537159</v>
      </c>
      <c r="J115" s="65">
        <f>$C$12*Table32[[#This Row],[opening balance]]</f>
        <v>620.4774499647317</v>
      </c>
      <c r="K115" s="65">
        <f>Table32[[#This Row],[monthly installment]]-Table32[[#This Row],[interest]]</f>
        <v>201.81657385063988</v>
      </c>
      <c r="L115" s="52">
        <f>Table32[[#This Row],[opening balance]]-Table32[[#This Row],[principal paid]]</f>
        <v>82528.510088113588</v>
      </c>
    </row>
    <row r="116" spans="7:12">
      <c r="G116">
        <f t="shared" si="8"/>
        <v>114</v>
      </c>
      <c r="H116" s="52">
        <f t="shared" si="9"/>
        <v>82528.510088113588</v>
      </c>
      <c r="I116" s="1">
        <f t="shared" si="5"/>
        <v>822.29402381537159</v>
      </c>
      <c r="J116" s="65">
        <f>$C$12*Table32[[#This Row],[opening balance]]</f>
        <v>618.96382566085185</v>
      </c>
      <c r="K116" s="65">
        <f>Table32[[#This Row],[monthly installment]]-Table32[[#This Row],[interest]]</f>
        <v>203.33019815451973</v>
      </c>
      <c r="L116" s="52">
        <f>Table32[[#This Row],[opening balance]]-Table32[[#This Row],[principal paid]]</f>
        <v>82325.179889959065</v>
      </c>
    </row>
    <row r="117" spans="7:12">
      <c r="G117">
        <f t="shared" si="8"/>
        <v>115</v>
      </c>
      <c r="H117" s="52">
        <f t="shared" si="9"/>
        <v>82325.179889959065</v>
      </c>
      <c r="I117" s="1">
        <f t="shared" si="5"/>
        <v>822.29402381537159</v>
      </c>
      <c r="J117" s="65">
        <f>$C$12*Table32[[#This Row],[opening balance]]</f>
        <v>617.43884917469302</v>
      </c>
      <c r="K117" s="65">
        <f>Table32[[#This Row],[monthly installment]]-Table32[[#This Row],[interest]]</f>
        <v>204.85517464067857</v>
      </c>
      <c r="L117" s="52">
        <f>Table32[[#This Row],[opening balance]]-Table32[[#This Row],[principal paid]]</f>
        <v>82120.324715318391</v>
      </c>
    </row>
    <row r="118" spans="7:12">
      <c r="G118">
        <f t="shared" si="8"/>
        <v>116</v>
      </c>
      <c r="H118" s="52">
        <f t="shared" si="9"/>
        <v>82120.324715318391</v>
      </c>
      <c r="I118" s="1">
        <f t="shared" si="5"/>
        <v>822.29402381537159</v>
      </c>
      <c r="J118" s="65">
        <f>$C$12*Table32[[#This Row],[opening balance]]</f>
        <v>615.90243536488788</v>
      </c>
      <c r="K118" s="65">
        <f>Table32[[#This Row],[monthly installment]]-Table32[[#This Row],[interest]]</f>
        <v>206.39158845048371</v>
      </c>
      <c r="L118" s="52">
        <f>Table32[[#This Row],[opening balance]]-Table32[[#This Row],[principal paid]]</f>
        <v>81913.933126867909</v>
      </c>
    </row>
    <row r="119" spans="7:12">
      <c r="G119">
        <f t="shared" si="8"/>
        <v>117</v>
      </c>
      <c r="H119" s="52">
        <f t="shared" si="9"/>
        <v>81913.933126867909</v>
      </c>
      <c r="I119" s="1">
        <f t="shared" si="5"/>
        <v>822.29402381537159</v>
      </c>
      <c r="J119" s="65">
        <f>$C$12*Table32[[#This Row],[opening balance]]</f>
        <v>614.35449845150924</v>
      </c>
      <c r="K119" s="65">
        <f>Table32[[#This Row],[monthly installment]]-Table32[[#This Row],[interest]]</f>
        <v>207.93952536386234</v>
      </c>
      <c r="L119" s="52">
        <f>Table32[[#This Row],[opening balance]]-Table32[[#This Row],[principal paid]]</f>
        <v>81705.993601504044</v>
      </c>
    </row>
    <row r="120" spans="7:12">
      <c r="G120">
        <f t="shared" si="8"/>
        <v>118</v>
      </c>
      <c r="H120" s="52">
        <f t="shared" si="9"/>
        <v>81705.993601504044</v>
      </c>
      <c r="I120" s="1">
        <f t="shared" si="5"/>
        <v>822.29402381537159</v>
      </c>
      <c r="J120" s="65">
        <f>$C$12*Table32[[#This Row],[opening balance]]</f>
        <v>612.79495201128032</v>
      </c>
      <c r="K120" s="65">
        <f>Table32[[#This Row],[monthly installment]]-Table32[[#This Row],[interest]]</f>
        <v>209.49907180409127</v>
      </c>
      <c r="L120" s="52">
        <f>Table32[[#This Row],[opening balance]]-Table32[[#This Row],[principal paid]]</f>
        <v>81496.49452969995</v>
      </c>
    </row>
    <row r="121" spans="7:12">
      <c r="G121">
        <f t="shared" si="8"/>
        <v>119</v>
      </c>
      <c r="H121" s="52">
        <f t="shared" si="9"/>
        <v>81496.49452969995</v>
      </c>
      <c r="I121" s="1">
        <f t="shared" si="5"/>
        <v>822.29402381537159</v>
      </c>
      <c r="J121" s="65">
        <f>$C$12*Table32[[#This Row],[opening balance]]</f>
        <v>611.22370897274959</v>
      </c>
      <c r="K121" s="65">
        <f>Table32[[#This Row],[monthly installment]]-Table32[[#This Row],[interest]]</f>
        <v>211.070314842622</v>
      </c>
      <c r="L121" s="52">
        <f>Table32[[#This Row],[opening balance]]-Table32[[#This Row],[principal paid]]</f>
        <v>81285.424214857325</v>
      </c>
    </row>
    <row r="122" spans="7:12">
      <c r="G122">
        <f t="shared" si="8"/>
        <v>120</v>
      </c>
      <c r="H122" s="52">
        <f t="shared" si="9"/>
        <v>81285.424214857325</v>
      </c>
      <c r="I122" s="1">
        <f t="shared" si="5"/>
        <v>822.29402381537159</v>
      </c>
      <c r="J122" s="65">
        <f>$C$12*Table32[[#This Row],[opening balance]]</f>
        <v>609.64068161142995</v>
      </c>
      <c r="K122" s="65">
        <f>Table32[[#This Row],[monthly installment]]-Table32[[#This Row],[interest]]</f>
        <v>212.65334220394163</v>
      </c>
      <c r="L122" s="52">
        <f>Table32[[#This Row],[opening balance]]-Table32[[#This Row],[principal paid]]</f>
        <v>81072.770872653389</v>
      </c>
    </row>
    <row r="123" spans="7:12">
      <c r="G123">
        <f t="shared" si="8"/>
        <v>121</v>
      </c>
      <c r="H123" s="52">
        <f t="shared" si="9"/>
        <v>81072.770872653389</v>
      </c>
      <c r="I123" s="1">
        <f t="shared" si="5"/>
        <v>822.29402381537159</v>
      </c>
      <c r="J123" s="65">
        <f>$C$12*Table32[[#This Row],[opening balance]]</f>
        <v>608.04578154490036</v>
      </c>
      <c r="K123" s="65">
        <f>Table32[[#This Row],[monthly installment]]-Table32[[#This Row],[interest]]</f>
        <v>214.24824227047122</v>
      </c>
      <c r="L123" s="52">
        <f>Table32[[#This Row],[opening balance]]-Table32[[#This Row],[principal paid]]</f>
        <v>80858.522630382911</v>
      </c>
    </row>
    <row r="124" spans="7:12">
      <c r="G124">
        <f t="shared" si="8"/>
        <v>122</v>
      </c>
      <c r="H124" s="52">
        <f t="shared" si="9"/>
        <v>80858.522630382911</v>
      </c>
      <c r="I124" s="1">
        <f t="shared" si="5"/>
        <v>822.29402381537159</v>
      </c>
      <c r="J124" s="65">
        <f>$C$12*Table32[[#This Row],[opening balance]]</f>
        <v>606.43891972787185</v>
      </c>
      <c r="K124" s="65">
        <f>Table32[[#This Row],[monthly installment]]-Table32[[#This Row],[interest]]</f>
        <v>215.85510408749974</v>
      </c>
      <c r="L124" s="52">
        <f>Table32[[#This Row],[opening balance]]-Table32[[#This Row],[principal paid]]</f>
        <v>80642.667526295409</v>
      </c>
    </row>
    <row r="125" spans="7:12">
      <c r="G125">
        <f t="shared" si="8"/>
        <v>123</v>
      </c>
      <c r="H125" s="52">
        <f t="shared" si="9"/>
        <v>80642.667526295409</v>
      </c>
      <c r="I125" s="1">
        <f t="shared" si="5"/>
        <v>822.29402381537159</v>
      </c>
      <c r="J125" s="65">
        <f>$C$12*Table32[[#This Row],[opening balance]]</f>
        <v>604.82000644721552</v>
      </c>
      <c r="K125" s="65">
        <f>Table32[[#This Row],[monthly installment]]-Table32[[#This Row],[interest]]</f>
        <v>217.47401736815607</v>
      </c>
      <c r="L125" s="52">
        <f>Table32[[#This Row],[opening balance]]-Table32[[#This Row],[principal paid]]</f>
        <v>80425.193508927259</v>
      </c>
    </row>
    <row r="126" spans="7:12">
      <c r="G126">
        <f t="shared" si="8"/>
        <v>124</v>
      </c>
      <c r="H126" s="52">
        <f t="shared" si="9"/>
        <v>80425.193508927259</v>
      </c>
      <c r="I126" s="1">
        <f t="shared" si="5"/>
        <v>822.29402381537159</v>
      </c>
      <c r="J126" s="65">
        <f>$C$12*Table32[[#This Row],[opening balance]]</f>
        <v>603.18895131695444</v>
      </c>
      <c r="K126" s="65">
        <f>Table32[[#This Row],[monthly installment]]-Table32[[#This Row],[interest]]</f>
        <v>219.10507249841714</v>
      </c>
      <c r="L126" s="52">
        <f>Table32[[#This Row],[opening balance]]-Table32[[#This Row],[principal paid]]</f>
        <v>80206.088436428836</v>
      </c>
    </row>
    <row r="127" spans="7:12">
      <c r="G127">
        <f t="shared" si="8"/>
        <v>125</v>
      </c>
      <c r="H127" s="52">
        <f t="shared" si="9"/>
        <v>80206.088436428836</v>
      </c>
      <c r="I127" s="1">
        <f t="shared" si="5"/>
        <v>822.29402381537159</v>
      </c>
      <c r="J127" s="65">
        <f>$C$12*Table32[[#This Row],[opening balance]]</f>
        <v>601.54566327321629</v>
      </c>
      <c r="K127" s="65">
        <f>Table32[[#This Row],[monthly installment]]-Table32[[#This Row],[interest]]</f>
        <v>220.7483605421553</v>
      </c>
      <c r="L127" s="52">
        <f>Table32[[#This Row],[opening balance]]-Table32[[#This Row],[principal paid]]</f>
        <v>79985.340075886677</v>
      </c>
    </row>
    <row r="128" spans="7:12">
      <c r="G128">
        <f t="shared" si="8"/>
        <v>126</v>
      </c>
      <c r="H128" s="52">
        <f t="shared" si="9"/>
        <v>79985.340075886677</v>
      </c>
      <c r="I128" s="1">
        <f t="shared" ref="I128:I191" si="10">$C$14</f>
        <v>822.29402381537159</v>
      </c>
      <c r="J128" s="65">
        <f>$C$12*Table32[[#This Row],[opening balance]]</f>
        <v>599.89005056915005</v>
      </c>
      <c r="K128" s="65">
        <f>Table32[[#This Row],[monthly installment]]-Table32[[#This Row],[interest]]</f>
        <v>222.40397324622154</v>
      </c>
      <c r="L128" s="52">
        <f>Table32[[#This Row],[opening balance]]-Table32[[#This Row],[principal paid]]</f>
        <v>79762.936102640451</v>
      </c>
    </row>
    <row r="129" spans="7:12">
      <c r="G129">
        <f t="shared" si="8"/>
        <v>127</v>
      </c>
      <c r="H129" s="52">
        <f t="shared" si="9"/>
        <v>79762.936102640451</v>
      </c>
      <c r="I129" s="1">
        <f t="shared" si="10"/>
        <v>822.29402381537159</v>
      </c>
      <c r="J129" s="65">
        <f>$C$12*Table32[[#This Row],[opening balance]]</f>
        <v>598.22202076980341</v>
      </c>
      <c r="K129" s="65">
        <f>Table32[[#This Row],[monthly installment]]-Table32[[#This Row],[interest]]</f>
        <v>224.07200304556818</v>
      </c>
      <c r="L129" s="52">
        <f>Table32[[#This Row],[opening balance]]-Table32[[#This Row],[principal paid]]</f>
        <v>79538.864099594881</v>
      </c>
    </row>
    <row r="130" spans="7:12">
      <c r="G130">
        <f t="shared" si="8"/>
        <v>128</v>
      </c>
      <c r="H130" s="52">
        <f t="shared" ref="H130:H146" si="11">L129</f>
        <v>79538.864099594881</v>
      </c>
      <c r="I130" s="1">
        <f t="shared" si="10"/>
        <v>822.29402381537159</v>
      </c>
      <c r="J130" s="65">
        <f>$C$12*Table32[[#This Row],[opening balance]]</f>
        <v>596.54148074696161</v>
      </c>
      <c r="K130" s="65">
        <f>Table32[[#This Row],[monthly installment]]-Table32[[#This Row],[interest]]</f>
        <v>225.75254306840998</v>
      </c>
      <c r="L130" s="52">
        <f>Table32[[#This Row],[opening balance]]-Table32[[#This Row],[principal paid]]</f>
        <v>79313.111556526477</v>
      </c>
    </row>
    <row r="131" spans="7:12">
      <c r="G131">
        <f t="shared" si="8"/>
        <v>129</v>
      </c>
      <c r="H131" s="52">
        <f t="shared" si="11"/>
        <v>79313.111556526477</v>
      </c>
      <c r="I131" s="1">
        <f t="shared" si="10"/>
        <v>822.29402381537159</v>
      </c>
      <c r="J131" s="65">
        <f>$C$12*Table32[[#This Row],[opening balance]]</f>
        <v>594.84833667394855</v>
      </c>
      <c r="K131" s="65">
        <f>Table32[[#This Row],[monthly installment]]-Table32[[#This Row],[interest]]</f>
        <v>227.44568714142304</v>
      </c>
      <c r="L131" s="52">
        <f>Table32[[#This Row],[opening balance]]-Table32[[#This Row],[principal paid]]</f>
        <v>79085.665869385048</v>
      </c>
    </row>
    <row r="132" spans="7:12">
      <c r="G132">
        <f t="shared" si="8"/>
        <v>130</v>
      </c>
      <c r="H132" s="52">
        <f t="shared" si="11"/>
        <v>79085.665869385048</v>
      </c>
      <c r="I132" s="1">
        <f t="shared" si="10"/>
        <v>822.29402381537159</v>
      </c>
      <c r="J132" s="65">
        <f>$C$12*Table32[[#This Row],[opening balance]]</f>
        <v>593.14249402038786</v>
      </c>
      <c r="K132" s="65">
        <f>Table32[[#This Row],[monthly installment]]-Table32[[#This Row],[interest]]</f>
        <v>229.15152979498373</v>
      </c>
      <c r="L132" s="52">
        <f>Table32[[#This Row],[opening balance]]-Table32[[#This Row],[principal paid]]</f>
        <v>78856.514339590067</v>
      </c>
    </row>
    <row r="133" spans="7:12">
      <c r="G133">
        <f t="shared" si="8"/>
        <v>131</v>
      </c>
      <c r="H133" s="52">
        <f t="shared" si="11"/>
        <v>78856.514339590067</v>
      </c>
      <c r="I133" s="1">
        <f t="shared" si="10"/>
        <v>822.29402381537159</v>
      </c>
      <c r="J133" s="65">
        <f>$C$12*Table32[[#This Row],[opening balance]]</f>
        <v>591.42385754692543</v>
      </c>
      <c r="K133" s="65">
        <f>Table32[[#This Row],[monthly installment]]-Table32[[#This Row],[interest]]</f>
        <v>230.87016626844616</v>
      </c>
      <c r="L133" s="52">
        <f>Table32[[#This Row],[opening balance]]-Table32[[#This Row],[principal paid]]</f>
        <v>78625.64417332162</v>
      </c>
    </row>
    <row r="134" spans="7:12">
      <c r="G134">
        <f t="shared" si="8"/>
        <v>132</v>
      </c>
      <c r="H134" s="52">
        <f t="shared" si="11"/>
        <v>78625.64417332162</v>
      </c>
      <c r="I134" s="1">
        <f t="shared" si="10"/>
        <v>822.29402381537159</v>
      </c>
      <c r="J134" s="65">
        <f>$C$12*Table32[[#This Row],[opening balance]]</f>
        <v>589.6923312999121</v>
      </c>
      <c r="K134" s="65">
        <f>Table32[[#This Row],[monthly installment]]-Table32[[#This Row],[interest]]</f>
        <v>232.60169251545949</v>
      </c>
      <c r="L134" s="52">
        <f>Table32[[#This Row],[opening balance]]-Table32[[#This Row],[principal paid]]</f>
        <v>78393.042480806165</v>
      </c>
    </row>
    <row r="135" spans="7:12">
      <c r="G135">
        <f t="shared" si="8"/>
        <v>133</v>
      </c>
      <c r="H135" s="52">
        <f t="shared" si="11"/>
        <v>78393.042480806165</v>
      </c>
      <c r="I135" s="1">
        <f t="shared" si="10"/>
        <v>822.29402381537159</v>
      </c>
      <c r="J135" s="65">
        <f>$C$12*Table32[[#This Row],[opening balance]]</f>
        <v>587.94781860604621</v>
      </c>
      <c r="K135" s="65">
        <f>Table32[[#This Row],[monthly installment]]-Table32[[#This Row],[interest]]</f>
        <v>234.34620520932538</v>
      </c>
      <c r="L135" s="52">
        <f>Table32[[#This Row],[opening balance]]-Table32[[#This Row],[principal paid]]</f>
        <v>78158.696275596842</v>
      </c>
    </row>
    <row r="136" spans="7:12">
      <c r="G136">
        <f t="shared" si="8"/>
        <v>134</v>
      </c>
      <c r="H136" s="52">
        <f t="shared" si="11"/>
        <v>78158.696275596842</v>
      </c>
      <c r="I136" s="1">
        <f t="shared" si="10"/>
        <v>822.29402381537159</v>
      </c>
      <c r="J136" s="65">
        <f>$C$12*Table32[[#This Row],[opening balance]]</f>
        <v>586.19022206697628</v>
      </c>
      <c r="K136" s="65">
        <f>Table32[[#This Row],[monthly installment]]-Table32[[#This Row],[interest]]</f>
        <v>236.10380174839531</v>
      </c>
      <c r="L136" s="52">
        <f>Table32[[#This Row],[opening balance]]-Table32[[#This Row],[principal paid]]</f>
        <v>77922.592473848446</v>
      </c>
    </row>
    <row r="137" spans="7:12">
      <c r="G137">
        <f t="shared" si="8"/>
        <v>135</v>
      </c>
      <c r="H137" s="52">
        <f t="shared" si="11"/>
        <v>77922.592473848446</v>
      </c>
      <c r="I137" s="1">
        <f t="shared" si="10"/>
        <v>822.29402381537159</v>
      </c>
      <c r="J137" s="65">
        <f>$C$12*Table32[[#This Row],[opening balance]]</f>
        <v>584.41944355386329</v>
      </c>
      <c r="K137" s="65">
        <f>Table32[[#This Row],[monthly installment]]-Table32[[#This Row],[interest]]</f>
        <v>237.8745802615083</v>
      </c>
      <c r="L137" s="52">
        <f>Table32[[#This Row],[opening balance]]-Table32[[#This Row],[principal paid]]</f>
        <v>77684.717893586945</v>
      </c>
    </row>
    <row r="138" spans="7:12">
      <c r="G138">
        <f t="shared" si="8"/>
        <v>136</v>
      </c>
      <c r="H138" s="52">
        <f t="shared" si="11"/>
        <v>77684.717893586945</v>
      </c>
      <c r="I138" s="1">
        <f t="shared" si="10"/>
        <v>822.29402381537159</v>
      </c>
      <c r="J138" s="65">
        <f>$C$12*Table32[[#This Row],[opening balance]]</f>
        <v>582.63538420190207</v>
      </c>
      <c r="K138" s="65">
        <f>Table32[[#This Row],[monthly installment]]-Table32[[#This Row],[interest]]</f>
        <v>239.65863961346952</v>
      </c>
      <c r="L138" s="52">
        <f>Table32[[#This Row],[opening balance]]-Table32[[#This Row],[principal paid]]</f>
        <v>77445.059253973479</v>
      </c>
    </row>
    <row r="139" spans="7:12">
      <c r="G139">
        <f t="shared" si="8"/>
        <v>137</v>
      </c>
      <c r="H139" s="52">
        <f t="shared" si="11"/>
        <v>77445.059253973479</v>
      </c>
      <c r="I139" s="1">
        <f t="shared" si="10"/>
        <v>822.29402381537159</v>
      </c>
      <c r="J139" s="65">
        <f>$C$12*Table32[[#This Row],[opening balance]]</f>
        <v>580.83794440480108</v>
      </c>
      <c r="K139" s="65">
        <f>Table32[[#This Row],[monthly installment]]-Table32[[#This Row],[interest]]</f>
        <v>241.45607941057051</v>
      </c>
      <c r="L139" s="52">
        <f>Table32[[#This Row],[opening balance]]-Table32[[#This Row],[principal paid]]</f>
        <v>77203.603174562915</v>
      </c>
    </row>
    <row r="140" spans="7:12">
      <c r="G140">
        <f t="shared" si="8"/>
        <v>138</v>
      </c>
      <c r="H140" s="52">
        <f t="shared" si="11"/>
        <v>77203.603174562915</v>
      </c>
      <c r="I140" s="1">
        <f t="shared" si="10"/>
        <v>822.29402381537159</v>
      </c>
      <c r="J140" s="65">
        <f>$C$12*Table32[[#This Row],[opening balance]]</f>
        <v>579.02702380922187</v>
      </c>
      <c r="K140" s="65">
        <f>Table32[[#This Row],[monthly installment]]-Table32[[#This Row],[interest]]</f>
        <v>243.26700000614971</v>
      </c>
      <c r="L140" s="52">
        <f>Table32[[#This Row],[opening balance]]-Table32[[#This Row],[principal paid]]</f>
        <v>76960.336174556767</v>
      </c>
    </row>
    <row r="141" spans="7:12">
      <c r="G141">
        <f t="shared" si="8"/>
        <v>139</v>
      </c>
      <c r="H141" s="52">
        <f t="shared" si="11"/>
        <v>76960.336174556767</v>
      </c>
      <c r="I141" s="1">
        <f t="shared" si="10"/>
        <v>822.29402381537159</v>
      </c>
      <c r="J141" s="65">
        <f>$C$12*Table32[[#This Row],[opening balance]]</f>
        <v>577.20252130917572</v>
      </c>
      <c r="K141" s="65">
        <f>Table32[[#This Row],[monthly installment]]-Table32[[#This Row],[interest]]</f>
        <v>245.09150250619587</v>
      </c>
      <c r="L141" s="52">
        <f>Table32[[#This Row],[opening balance]]-Table32[[#This Row],[principal paid]]</f>
        <v>76715.244672050569</v>
      </c>
    </row>
    <row r="142" spans="7:12">
      <c r="G142">
        <f t="shared" si="8"/>
        <v>140</v>
      </c>
      <c r="H142" s="52">
        <f t="shared" si="11"/>
        <v>76715.244672050569</v>
      </c>
      <c r="I142" s="1">
        <f t="shared" si="10"/>
        <v>822.29402381537159</v>
      </c>
      <c r="J142" s="65">
        <f>$C$12*Table32[[#This Row],[opening balance]]</f>
        <v>575.36433504037927</v>
      </c>
      <c r="K142" s="65">
        <f>Table32[[#This Row],[monthly installment]]-Table32[[#This Row],[interest]]</f>
        <v>246.92968877499231</v>
      </c>
      <c r="L142" s="52">
        <f>Table32[[#This Row],[opening balance]]-Table32[[#This Row],[principal paid]]</f>
        <v>76468.314983275573</v>
      </c>
    </row>
    <row r="143" spans="7:12">
      <c r="G143">
        <f t="shared" si="8"/>
        <v>141</v>
      </c>
      <c r="H143" s="52">
        <f t="shared" si="11"/>
        <v>76468.314983275573</v>
      </c>
      <c r="I143" s="1">
        <f t="shared" si="10"/>
        <v>822.29402381537159</v>
      </c>
      <c r="J143" s="65">
        <f>$C$12*Table32[[#This Row],[opening balance]]</f>
        <v>573.51236237456681</v>
      </c>
      <c r="K143" s="65">
        <f>Table32[[#This Row],[monthly installment]]-Table32[[#This Row],[interest]]</f>
        <v>248.78166144080478</v>
      </c>
      <c r="L143" s="52">
        <f>Table32[[#This Row],[opening balance]]-Table32[[#This Row],[principal paid]]</f>
        <v>76219.533321834766</v>
      </c>
    </row>
    <row r="144" spans="7:12">
      <c r="G144">
        <f t="shared" si="8"/>
        <v>142</v>
      </c>
      <c r="H144" s="52">
        <f t="shared" si="11"/>
        <v>76219.533321834766</v>
      </c>
      <c r="I144" s="1">
        <f t="shared" si="10"/>
        <v>822.29402381537159</v>
      </c>
      <c r="J144" s="65">
        <f>$C$12*Table32[[#This Row],[opening balance]]</f>
        <v>571.64649991376075</v>
      </c>
      <c r="K144" s="65">
        <f>Table32[[#This Row],[monthly installment]]-Table32[[#This Row],[interest]]</f>
        <v>250.64752390161084</v>
      </c>
      <c r="L144" s="52">
        <f>Table32[[#This Row],[opening balance]]-Table32[[#This Row],[principal paid]]</f>
        <v>75968.885797933151</v>
      </c>
    </row>
    <row r="145" spans="7:12">
      <c r="G145">
        <f t="shared" si="8"/>
        <v>143</v>
      </c>
      <c r="H145" s="52">
        <f t="shared" si="11"/>
        <v>75968.885797933151</v>
      </c>
      <c r="I145" s="1">
        <f t="shared" si="10"/>
        <v>822.29402381537159</v>
      </c>
      <c r="J145" s="65">
        <f>$C$12*Table32[[#This Row],[opening balance]]</f>
        <v>569.76664348449856</v>
      </c>
      <c r="K145" s="65">
        <f>Table32[[#This Row],[monthly installment]]-Table32[[#This Row],[interest]]</f>
        <v>252.52738033087303</v>
      </c>
      <c r="L145" s="52">
        <f>Table32[[#This Row],[opening balance]]-Table32[[#This Row],[principal paid]]</f>
        <v>75716.358417602285</v>
      </c>
    </row>
    <row r="146" spans="7:12">
      <c r="G146">
        <f t="shared" si="8"/>
        <v>144</v>
      </c>
      <c r="H146" s="52">
        <f t="shared" si="11"/>
        <v>75716.358417602285</v>
      </c>
      <c r="I146" s="1">
        <f t="shared" si="10"/>
        <v>822.29402381537159</v>
      </c>
      <c r="J146" s="65">
        <f>$C$12*Table32[[#This Row],[opening balance]]</f>
        <v>567.87268813201706</v>
      </c>
      <c r="K146" s="65">
        <f>Table32[[#This Row],[monthly installment]]-Table32[[#This Row],[interest]]</f>
        <v>254.42133568335453</v>
      </c>
      <c r="L146" s="52">
        <f>Table32[[#This Row],[opening balance]]-Table32[[#This Row],[principal paid]]</f>
        <v>75461.937081918935</v>
      </c>
    </row>
    <row r="147" spans="7:12">
      <c r="G147">
        <f t="shared" si="8"/>
        <v>145</v>
      </c>
      <c r="H147" s="52">
        <f t="shared" ref="H147:H178" si="12">L146</f>
        <v>75461.937081918935</v>
      </c>
      <c r="I147" s="1">
        <f t="shared" si="10"/>
        <v>822.29402381537159</v>
      </c>
      <c r="J147" s="65">
        <f>$C$12*Table32[[#This Row],[opening balance]]</f>
        <v>565.96452811439201</v>
      </c>
      <c r="K147" s="65">
        <f>Table32[[#This Row],[monthly installment]]-Table32[[#This Row],[interest]]</f>
        <v>256.32949570097958</v>
      </c>
      <c r="L147" s="52">
        <f>Table32[[#This Row],[opening balance]]-Table32[[#This Row],[principal paid]]</f>
        <v>75205.607586217957</v>
      </c>
    </row>
    <row r="148" spans="7:12">
      <c r="G148">
        <f t="shared" si="8"/>
        <v>146</v>
      </c>
      <c r="H148" s="52">
        <f t="shared" si="12"/>
        <v>75205.607586217957</v>
      </c>
      <c r="I148" s="1">
        <f t="shared" si="10"/>
        <v>822.29402381537159</v>
      </c>
      <c r="J148" s="65">
        <f>$C$12*Table32[[#This Row],[opening balance]]</f>
        <v>564.04205689663468</v>
      </c>
      <c r="K148" s="65">
        <f>Table32[[#This Row],[monthly installment]]-Table32[[#This Row],[interest]]</f>
        <v>258.25196691873691</v>
      </c>
      <c r="L148" s="52">
        <f>Table32[[#This Row],[opening balance]]-Table32[[#This Row],[principal paid]]</f>
        <v>74947.355619299226</v>
      </c>
    </row>
    <row r="149" spans="7:12">
      <c r="G149">
        <f t="shared" si="8"/>
        <v>147</v>
      </c>
      <c r="H149" s="52">
        <f t="shared" si="12"/>
        <v>74947.355619299226</v>
      </c>
      <c r="I149" s="1">
        <f t="shared" si="10"/>
        <v>822.29402381537159</v>
      </c>
      <c r="J149" s="65">
        <f>$C$12*Table32[[#This Row],[opening balance]]</f>
        <v>562.1051671447442</v>
      </c>
      <c r="K149" s="65">
        <f>Table32[[#This Row],[monthly installment]]-Table32[[#This Row],[interest]]</f>
        <v>260.18885667062739</v>
      </c>
      <c r="L149" s="52">
        <f>Table32[[#This Row],[opening balance]]-Table32[[#This Row],[principal paid]]</f>
        <v>74687.166762628593</v>
      </c>
    </row>
    <row r="150" spans="7:12">
      <c r="G150">
        <f t="shared" ref="G150:G213" si="13">1+G149</f>
        <v>148</v>
      </c>
      <c r="H150" s="52">
        <f t="shared" si="12"/>
        <v>74687.166762628593</v>
      </c>
      <c r="I150" s="1">
        <f t="shared" si="10"/>
        <v>822.29402381537159</v>
      </c>
      <c r="J150" s="65">
        <f>$C$12*Table32[[#This Row],[opening balance]]</f>
        <v>560.15375071971437</v>
      </c>
      <c r="K150" s="65">
        <f>Table32[[#This Row],[monthly installment]]-Table32[[#This Row],[interest]]</f>
        <v>262.14027309565722</v>
      </c>
      <c r="L150" s="52">
        <f>Table32[[#This Row],[opening balance]]-Table32[[#This Row],[principal paid]]</f>
        <v>74425.026489532931</v>
      </c>
    </row>
    <row r="151" spans="7:12">
      <c r="G151">
        <f t="shared" si="13"/>
        <v>149</v>
      </c>
      <c r="H151" s="52">
        <f t="shared" si="12"/>
        <v>74425.026489532931</v>
      </c>
      <c r="I151" s="1">
        <f t="shared" si="10"/>
        <v>822.29402381537159</v>
      </c>
      <c r="J151" s="65">
        <f>$C$12*Table32[[#This Row],[opening balance]]</f>
        <v>558.18769867149695</v>
      </c>
      <c r="K151" s="65">
        <f>Table32[[#This Row],[monthly installment]]-Table32[[#This Row],[interest]]</f>
        <v>264.10632514387464</v>
      </c>
      <c r="L151" s="52">
        <f>Table32[[#This Row],[opening balance]]-Table32[[#This Row],[principal paid]]</f>
        <v>74160.920164389056</v>
      </c>
    </row>
    <row r="152" spans="7:12">
      <c r="G152">
        <f t="shared" si="13"/>
        <v>150</v>
      </c>
      <c r="H152" s="52">
        <f t="shared" si="12"/>
        <v>74160.920164389056</v>
      </c>
      <c r="I152" s="1">
        <f t="shared" si="10"/>
        <v>822.29402381537159</v>
      </c>
      <c r="J152" s="65">
        <f>$C$12*Table32[[#This Row],[opening balance]]</f>
        <v>556.20690123291786</v>
      </c>
      <c r="K152" s="65">
        <f>Table32[[#This Row],[monthly installment]]-Table32[[#This Row],[interest]]</f>
        <v>266.08712258245373</v>
      </c>
      <c r="L152" s="52">
        <f>Table32[[#This Row],[opening balance]]-Table32[[#This Row],[principal paid]]</f>
        <v>73894.833041806603</v>
      </c>
    </row>
    <row r="153" spans="7:12">
      <c r="G153">
        <f t="shared" si="13"/>
        <v>151</v>
      </c>
      <c r="H153" s="52">
        <f t="shared" si="12"/>
        <v>73894.833041806603</v>
      </c>
      <c r="I153" s="1">
        <f t="shared" si="10"/>
        <v>822.29402381537159</v>
      </c>
      <c r="J153" s="65">
        <f>$C$12*Table32[[#This Row],[opening balance]]</f>
        <v>554.21124781354945</v>
      </c>
      <c r="K153" s="65">
        <f>Table32[[#This Row],[monthly installment]]-Table32[[#This Row],[interest]]</f>
        <v>268.08277600182214</v>
      </c>
      <c r="L153" s="52">
        <f>Table32[[#This Row],[opening balance]]-Table32[[#This Row],[principal paid]]</f>
        <v>73626.750265804774</v>
      </c>
    </row>
    <row r="154" spans="7:12">
      <c r="G154">
        <f t="shared" si="13"/>
        <v>152</v>
      </c>
      <c r="H154" s="52">
        <f t="shared" si="12"/>
        <v>73626.750265804774</v>
      </c>
      <c r="I154" s="1">
        <f t="shared" si="10"/>
        <v>822.29402381537159</v>
      </c>
      <c r="J154" s="65">
        <f>$C$12*Table32[[#This Row],[opening balance]]</f>
        <v>552.20062699353582</v>
      </c>
      <c r="K154" s="65">
        <f>Table32[[#This Row],[monthly installment]]-Table32[[#This Row],[interest]]</f>
        <v>270.09339682183577</v>
      </c>
      <c r="L154" s="52">
        <f>Table32[[#This Row],[opening balance]]-Table32[[#This Row],[principal paid]]</f>
        <v>73356.656868982944</v>
      </c>
    </row>
    <row r="155" spans="7:12">
      <c r="G155">
        <f t="shared" si="13"/>
        <v>153</v>
      </c>
      <c r="H155" s="52">
        <f t="shared" si="12"/>
        <v>73356.656868982944</v>
      </c>
      <c r="I155" s="1">
        <f t="shared" si="10"/>
        <v>822.29402381537159</v>
      </c>
      <c r="J155" s="65">
        <f>$C$12*Table32[[#This Row],[opening balance]]</f>
        <v>550.17492651737211</v>
      </c>
      <c r="K155" s="65">
        <f>Table32[[#This Row],[monthly installment]]-Table32[[#This Row],[interest]]</f>
        <v>272.11909729799947</v>
      </c>
      <c r="L155" s="52">
        <f>Table32[[#This Row],[opening balance]]-Table32[[#This Row],[principal paid]]</f>
        <v>73084.537771684947</v>
      </c>
    </row>
    <row r="156" spans="7:12">
      <c r="G156">
        <f t="shared" si="13"/>
        <v>154</v>
      </c>
      <c r="H156" s="52">
        <f t="shared" si="12"/>
        <v>73084.537771684947</v>
      </c>
      <c r="I156" s="1">
        <f t="shared" si="10"/>
        <v>822.29402381537159</v>
      </c>
      <c r="J156" s="65">
        <f>$C$12*Table32[[#This Row],[opening balance]]</f>
        <v>548.13403328763707</v>
      </c>
      <c r="K156" s="65">
        <f>Table32[[#This Row],[monthly installment]]-Table32[[#This Row],[interest]]</f>
        <v>274.15999052773452</v>
      </c>
      <c r="L156" s="52">
        <f>Table32[[#This Row],[opening balance]]-Table32[[#This Row],[principal paid]]</f>
        <v>72810.377781157207</v>
      </c>
    </row>
    <row r="157" spans="7:12">
      <c r="G157">
        <f t="shared" si="13"/>
        <v>155</v>
      </c>
      <c r="H157" s="52">
        <f t="shared" si="12"/>
        <v>72810.377781157207</v>
      </c>
      <c r="I157" s="1">
        <f t="shared" si="10"/>
        <v>822.29402381537159</v>
      </c>
      <c r="J157" s="65">
        <f>$C$12*Table32[[#This Row],[opening balance]]</f>
        <v>546.07783335867907</v>
      </c>
      <c r="K157" s="65">
        <f>Table32[[#This Row],[monthly installment]]-Table32[[#This Row],[interest]]</f>
        <v>276.21619045669252</v>
      </c>
      <c r="L157" s="52">
        <f>Table32[[#This Row],[opening balance]]-Table32[[#This Row],[principal paid]]</f>
        <v>72534.161590700518</v>
      </c>
    </row>
    <row r="158" spans="7:12">
      <c r="G158">
        <f t="shared" si="13"/>
        <v>156</v>
      </c>
      <c r="H158" s="52">
        <f t="shared" si="12"/>
        <v>72534.161590700518</v>
      </c>
      <c r="I158" s="1">
        <f t="shared" si="10"/>
        <v>822.29402381537159</v>
      </c>
      <c r="J158" s="65">
        <f>$C$12*Table32[[#This Row],[opening balance]]</f>
        <v>544.00621193025381</v>
      </c>
      <c r="K158" s="65">
        <f>Table32[[#This Row],[monthly installment]]-Table32[[#This Row],[interest]]</f>
        <v>278.28781188511778</v>
      </c>
      <c r="L158" s="52">
        <f>Table32[[#This Row],[opening balance]]-Table32[[#This Row],[principal paid]]</f>
        <v>72255.873778815396</v>
      </c>
    </row>
    <row r="159" spans="7:12">
      <c r="G159">
        <f t="shared" si="13"/>
        <v>157</v>
      </c>
      <c r="H159" s="52">
        <f t="shared" si="12"/>
        <v>72255.873778815396</v>
      </c>
      <c r="I159" s="1">
        <f t="shared" si="10"/>
        <v>822.29402381537159</v>
      </c>
      <c r="J159" s="65">
        <f>$C$12*Table32[[#This Row],[opening balance]]</f>
        <v>541.9190533411155</v>
      </c>
      <c r="K159" s="65">
        <f>Table32[[#This Row],[monthly installment]]-Table32[[#This Row],[interest]]</f>
        <v>280.37497047425609</v>
      </c>
      <c r="L159" s="52">
        <f>Table32[[#This Row],[opening balance]]-Table32[[#This Row],[principal paid]]</f>
        <v>71975.498808341144</v>
      </c>
    </row>
    <row r="160" spans="7:12">
      <c r="G160">
        <f t="shared" si="13"/>
        <v>158</v>
      </c>
      <c r="H160" s="52">
        <f t="shared" si="12"/>
        <v>71975.498808341144</v>
      </c>
      <c r="I160" s="1">
        <f t="shared" si="10"/>
        <v>822.29402381537159</v>
      </c>
      <c r="J160" s="65">
        <f>$C$12*Table32[[#This Row],[opening balance]]</f>
        <v>539.81624106255856</v>
      </c>
      <c r="K160" s="65">
        <f>Table32[[#This Row],[monthly installment]]-Table32[[#This Row],[interest]]</f>
        <v>282.47778275281303</v>
      </c>
      <c r="L160" s="52">
        <f>Table32[[#This Row],[opening balance]]-Table32[[#This Row],[principal paid]]</f>
        <v>71693.021025588328</v>
      </c>
    </row>
    <row r="161" spans="7:12">
      <c r="G161">
        <f t="shared" si="13"/>
        <v>159</v>
      </c>
      <c r="H161" s="52">
        <f t="shared" si="12"/>
        <v>71693.021025588328</v>
      </c>
      <c r="I161" s="1">
        <f t="shared" si="10"/>
        <v>822.29402381537159</v>
      </c>
      <c r="J161" s="65">
        <f>$C$12*Table32[[#This Row],[opening balance]]</f>
        <v>537.69765769191247</v>
      </c>
      <c r="K161" s="65">
        <f>Table32[[#This Row],[monthly installment]]-Table32[[#This Row],[interest]]</f>
        <v>284.59636612345912</v>
      </c>
      <c r="L161" s="52">
        <f>Table32[[#This Row],[opening balance]]-Table32[[#This Row],[principal paid]]</f>
        <v>71408.424659464872</v>
      </c>
    </row>
    <row r="162" spans="7:12">
      <c r="G162">
        <f t="shared" si="13"/>
        <v>160</v>
      </c>
      <c r="H162" s="52">
        <f t="shared" si="12"/>
        <v>71408.424659464872</v>
      </c>
      <c r="I162" s="1">
        <f t="shared" si="10"/>
        <v>822.29402381537159</v>
      </c>
      <c r="J162" s="65">
        <f>$C$12*Table32[[#This Row],[opening balance]]</f>
        <v>535.56318494598656</v>
      </c>
      <c r="K162" s="65">
        <f>Table32[[#This Row],[monthly installment]]-Table32[[#This Row],[interest]]</f>
        <v>286.73083886938502</v>
      </c>
      <c r="L162" s="52">
        <f>Table32[[#This Row],[opening balance]]-Table32[[#This Row],[principal paid]]</f>
        <v>71121.693820595494</v>
      </c>
    </row>
    <row r="163" spans="7:12">
      <c r="G163">
        <f t="shared" si="13"/>
        <v>161</v>
      </c>
      <c r="H163" s="52">
        <f t="shared" si="12"/>
        <v>71121.693820595494</v>
      </c>
      <c r="I163" s="1">
        <f t="shared" si="10"/>
        <v>822.29402381537159</v>
      </c>
      <c r="J163" s="65">
        <f>$C$12*Table32[[#This Row],[opening balance]]</f>
        <v>533.41270365446621</v>
      </c>
      <c r="K163" s="65">
        <f>Table32[[#This Row],[monthly installment]]-Table32[[#This Row],[interest]]</f>
        <v>288.88132016090537</v>
      </c>
      <c r="L163" s="52">
        <f>Table32[[#This Row],[opening balance]]-Table32[[#This Row],[principal paid]]</f>
        <v>70832.812500434593</v>
      </c>
    </row>
    <row r="164" spans="7:12">
      <c r="G164">
        <f t="shared" si="13"/>
        <v>162</v>
      </c>
      <c r="H164" s="52">
        <f t="shared" si="12"/>
        <v>70832.812500434593</v>
      </c>
      <c r="I164" s="1">
        <f t="shared" si="10"/>
        <v>822.29402381537159</v>
      </c>
      <c r="J164" s="65">
        <f>$C$12*Table32[[#This Row],[opening balance]]</f>
        <v>531.2460937532594</v>
      </c>
      <c r="K164" s="65">
        <f>Table32[[#This Row],[monthly installment]]-Table32[[#This Row],[interest]]</f>
        <v>291.04793006211219</v>
      </c>
      <c r="L164" s="52">
        <f>Table32[[#This Row],[opening balance]]-Table32[[#This Row],[principal paid]]</f>
        <v>70541.764570372485</v>
      </c>
    </row>
    <row r="165" spans="7:12">
      <c r="G165">
        <f t="shared" si="13"/>
        <v>163</v>
      </c>
      <c r="H165" s="52">
        <f t="shared" si="12"/>
        <v>70541.764570372485</v>
      </c>
      <c r="I165" s="1">
        <f t="shared" si="10"/>
        <v>822.29402381537159</v>
      </c>
      <c r="J165" s="65">
        <f>$C$12*Table32[[#This Row],[opening balance]]</f>
        <v>529.06323427779364</v>
      </c>
      <c r="K165" s="65">
        <f>Table32[[#This Row],[monthly installment]]-Table32[[#This Row],[interest]]</f>
        <v>293.23078953757795</v>
      </c>
      <c r="L165" s="52">
        <f>Table32[[#This Row],[opening balance]]-Table32[[#This Row],[principal paid]]</f>
        <v>70248.5337808349</v>
      </c>
    </row>
    <row r="166" spans="7:12">
      <c r="G166">
        <f t="shared" si="13"/>
        <v>164</v>
      </c>
      <c r="H166" s="52">
        <f t="shared" si="12"/>
        <v>70248.5337808349</v>
      </c>
      <c r="I166" s="1">
        <f t="shared" si="10"/>
        <v>822.29402381537159</v>
      </c>
      <c r="J166" s="65">
        <f>$C$12*Table32[[#This Row],[opening balance]]</f>
        <v>526.86400335626172</v>
      </c>
      <c r="K166" s="65">
        <f>Table32[[#This Row],[monthly installment]]-Table32[[#This Row],[interest]]</f>
        <v>295.43002045910987</v>
      </c>
      <c r="L166" s="52">
        <f>Table32[[#This Row],[opening balance]]-Table32[[#This Row],[principal paid]]</f>
        <v>69953.103760375787</v>
      </c>
    </row>
    <row r="167" spans="7:12">
      <c r="G167">
        <f t="shared" si="13"/>
        <v>165</v>
      </c>
      <c r="H167" s="52">
        <f t="shared" si="12"/>
        <v>69953.103760375787</v>
      </c>
      <c r="I167" s="1">
        <f t="shared" si="10"/>
        <v>822.29402381537159</v>
      </c>
      <c r="J167" s="65">
        <f>$C$12*Table32[[#This Row],[opening balance]]</f>
        <v>524.64827820281835</v>
      </c>
      <c r="K167" s="65">
        <f>Table32[[#This Row],[monthly installment]]-Table32[[#This Row],[interest]]</f>
        <v>297.64574561255324</v>
      </c>
      <c r="L167" s="52">
        <f>Table32[[#This Row],[opening balance]]-Table32[[#This Row],[principal paid]]</f>
        <v>69655.458014763237</v>
      </c>
    </row>
    <row r="168" spans="7:12">
      <c r="G168">
        <f t="shared" si="13"/>
        <v>166</v>
      </c>
      <c r="H168" s="52">
        <f t="shared" si="12"/>
        <v>69655.458014763237</v>
      </c>
      <c r="I168" s="1">
        <f t="shared" si="10"/>
        <v>822.29402381537159</v>
      </c>
      <c r="J168" s="65">
        <f>$C$12*Table32[[#This Row],[opening balance]]</f>
        <v>522.41593511072426</v>
      </c>
      <c r="K168" s="65">
        <f>Table32[[#This Row],[monthly installment]]-Table32[[#This Row],[interest]]</f>
        <v>299.87808870464733</v>
      </c>
      <c r="L168" s="52">
        <f>Table32[[#This Row],[opening balance]]-Table32[[#This Row],[principal paid]]</f>
        <v>69355.579926058592</v>
      </c>
    </row>
    <row r="169" spans="7:12">
      <c r="G169">
        <f t="shared" si="13"/>
        <v>167</v>
      </c>
      <c r="H169" s="52">
        <f t="shared" si="12"/>
        <v>69355.579926058592</v>
      </c>
      <c r="I169" s="1">
        <f t="shared" si="10"/>
        <v>822.29402381537159</v>
      </c>
      <c r="J169" s="65">
        <f>$C$12*Table32[[#This Row],[opening balance]]</f>
        <v>520.16684944543942</v>
      </c>
      <c r="K169" s="65">
        <f>Table32[[#This Row],[monthly installment]]-Table32[[#This Row],[interest]]</f>
        <v>302.12717436993216</v>
      </c>
      <c r="L169" s="52">
        <f>Table32[[#This Row],[opening balance]]-Table32[[#This Row],[principal paid]]</f>
        <v>69053.452751688659</v>
      </c>
    </row>
    <row r="170" spans="7:12">
      <c r="G170">
        <f t="shared" si="13"/>
        <v>168</v>
      </c>
      <c r="H170" s="52">
        <f t="shared" si="12"/>
        <v>69053.452751688659</v>
      </c>
      <c r="I170" s="1">
        <f t="shared" si="10"/>
        <v>822.29402381537159</v>
      </c>
      <c r="J170" s="65">
        <f>$C$12*Table32[[#This Row],[opening balance]]</f>
        <v>517.90089563766492</v>
      </c>
      <c r="K170" s="65">
        <f>Table32[[#This Row],[monthly installment]]-Table32[[#This Row],[interest]]</f>
        <v>304.39312817770667</v>
      </c>
      <c r="L170" s="52">
        <f>Table32[[#This Row],[opening balance]]-Table32[[#This Row],[principal paid]]</f>
        <v>68749.059623510955</v>
      </c>
    </row>
    <row r="171" spans="7:12">
      <c r="G171">
        <f t="shared" si="13"/>
        <v>169</v>
      </c>
      <c r="H171" s="52">
        <f t="shared" si="12"/>
        <v>68749.059623510955</v>
      </c>
      <c r="I171" s="1">
        <f t="shared" si="10"/>
        <v>822.29402381537159</v>
      </c>
      <c r="J171" s="65">
        <f>$C$12*Table32[[#This Row],[opening balance]]</f>
        <v>515.61794717633211</v>
      </c>
      <c r="K171" s="65">
        <f>Table32[[#This Row],[monthly installment]]-Table32[[#This Row],[interest]]</f>
        <v>306.67607663903948</v>
      </c>
      <c r="L171" s="52">
        <f>Table32[[#This Row],[opening balance]]-Table32[[#This Row],[principal paid]]</f>
        <v>68442.383546871919</v>
      </c>
    </row>
    <row r="172" spans="7:12">
      <c r="G172">
        <f t="shared" si="13"/>
        <v>170</v>
      </c>
      <c r="H172" s="52">
        <f t="shared" si="12"/>
        <v>68442.383546871919</v>
      </c>
      <c r="I172" s="1">
        <f t="shared" si="10"/>
        <v>822.29402381537159</v>
      </c>
      <c r="J172" s="65">
        <f>$C$12*Table32[[#This Row],[opening balance]]</f>
        <v>513.31787660153941</v>
      </c>
      <c r="K172" s="65">
        <f>Table32[[#This Row],[monthly installment]]-Table32[[#This Row],[interest]]</f>
        <v>308.97614721383218</v>
      </c>
      <c r="L172" s="52">
        <f>Table32[[#This Row],[opening balance]]-Table32[[#This Row],[principal paid]]</f>
        <v>68133.407399658085</v>
      </c>
    </row>
    <row r="173" spans="7:12">
      <c r="G173">
        <f t="shared" si="13"/>
        <v>171</v>
      </c>
      <c r="H173" s="52">
        <f t="shared" si="12"/>
        <v>68133.407399658085</v>
      </c>
      <c r="I173" s="1">
        <f t="shared" si="10"/>
        <v>822.29402381537159</v>
      </c>
      <c r="J173" s="65">
        <f>$C$12*Table32[[#This Row],[opening balance]]</f>
        <v>511.00055549743564</v>
      </c>
      <c r="K173" s="65">
        <f>Table32[[#This Row],[monthly installment]]-Table32[[#This Row],[interest]]</f>
        <v>311.29346831793595</v>
      </c>
      <c r="L173" s="52">
        <f>Table32[[#This Row],[opening balance]]-Table32[[#This Row],[principal paid]]</f>
        <v>67822.113931340151</v>
      </c>
    </row>
    <row r="174" spans="7:12">
      <c r="G174">
        <f t="shared" si="13"/>
        <v>172</v>
      </c>
      <c r="H174" s="52">
        <f t="shared" si="12"/>
        <v>67822.113931340151</v>
      </c>
      <c r="I174" s="1">
        <f t="shared" si="10"/>
        <v>822.29402381537159</v>
      </c>
      <c r="J174" s="65">
        <f>$C$12*Table32[[#This Row],[opening balance]]</f>
        <v>508.66585448505111</v>
      </c>
      <c r="K174" s="65">
        <f>Table32[[#This Row],[monthly installment]]-Table32[[#This Row],[interest]]</f>
        <v>313.62816933032047</v>
      </c>
      <c r="L174" s="52">
        <f>Table32[[#This Row],[opening balance]]-Table32[[#This Row],[principal paid]]</f>
        <v>67508.485762009834</v>
      </c>
    </row>
    <row r="175" spans="7:12">
      <c r="G175">
        <f t="shared" si="13"/>
        <v>173</v>
      </c>
      <c r="H175" s="52">
        <f t="shared" si="12"/>
        <v>67508.485762009834</v>
      </c>
      <c r="I175" s="1">
        <f t="shared" si="10"/>
        <v>822.29402381537159</v>
      </c>
      <c r="J175" s="65">
        <f>$C$12*Table32[[#This Row],[opening balance]]</f>
        <v>506.31364321507374</v>
      </c>
      <c r="K175" s="65">
        <f>Table32[[#This Row],[monthly installment]]-Table32[[#This Row],[interest]]</f>
        <v>315.98038060029785</v>
      </c>
      <c r="L175" s="52">
        <f>Table32[[#This Row],[opening balance]]-Table32[[#This Row],[principal paid]]</f>
        <v>67192.50538140953</v>
      </c>
    </row>
    <row r="176" spans="7:12">
      <c r="G176">
        <f t="shared" si="13"/>
        <v>174</v>
      </c>
      <c r="H176" s="52">
        <f t="shared" si="12"/>
        <v>67192.50538140953</v>
      </c>
      <c r="I176" s="1">
        <f t="shared" si="10"/>
        <v>822.29402381537159</v>
      </c>
      <c r="J176" s="65">
        <f>$C$12*Table32[[#This Row],[opening balance]]</f>
        <v>503.94379036057148</v>
      </c>
      <c r="K176" s="65">
        <f>Table32[[#This Row],[monthly installment]]-Table32[[#This Row],[interest]]</f>
        <v>318.3502334548001</v>
      </c>
      <c r="L176" s="52">
        <f>Table32[[#This Row],[opening balance]]-Table32[[#This Row],[principal paid]]</f>
        <v>66874.155147954734</v>
      </c>
    </row>
    <row r="177" spans="7:12">
      <c r="G177">
        <f t="shared" si="13"/>
        <v>175</v>
      </c>
      <c r="H177" s="52">
        <f t="shared" si="12"/>
        <v>66874.155147954734</v>
      </c>
      <c r="I177" s="1">
        <f t="shared" si="10"/>
        <v>822.29402381537159</v>
      </c>
      <c r="J177" s="65">
        <f>$C$12*Table32[[#This Row],[opening balance]]</f>
        <v>501.55616360966047</v>
      </c>
      <c r="K177" s="65">
        <f>Table32[[#This Row],[monthly installment]]-Table32[[#This Row],[interest]]</f>
        <v>320.73786020571112</v>
      </c>
      <c r="L177" s="52">
        <f>Table32[[#This Row],[opening balance]]-Table32[[#This Row],[principal paid]]</f>
        <v>66553.41728774902</v>
      </c>
    </row>
    <row r="178" spans="7:12">
      <c r="G178">
        <f t="shared" si="13"/>
        <v>176</v>
      </c>
      <c r="H178" s="52">
        <f t="shared" si="12"/>
        <v>66553.41728774902</v>
      </c>
      <c r="I178" s="1">
        <f t="shared" si="10"/>
        <v>822.29402381537159</v>
      </c>
      <c r="J178" s="65">
        <f>$C$12*Table32[[#This Row],[opening balance]]</f>
        <v>499.15062965811762</v>
      </c>
      <c r="K178" s="65">
        <f>Table32[[#This Row],[monthly installment]]-Table32[[#This Row],[interest]]</f>
        <v>323.14339415725397</v>
      </c>
      <c r="L178" s="52">
        <f>Table32[[#This Row],[opening balance]]-Table32[[#This Row],[principal paid]]</f>
        <v>66230.273893591773</v>
      </c>
    </row>
    <row r="179" spans="7:12">
      <c r="G179">
        <f t="shared" si="13"/>
        <v>177</v>
      </c>
      <c r="H179" s="52">
        <f t="shared" ref="H179:H210" si="14">L178</f>
        <v>66230.273893591773</v>
      </c>
      <c r="I179" s="1">
        <f t="shared" si="10"/>
        <v>822.29402381537159</v>
      </c>
      <c r="J179" s="65">
        <f>$C$12*Table32[[#This Row],[opening balance]]</f>
        <v>496.7270542019383</v>
      </c>
      <c r="K179" s="65">
        <f>Table32[[#This Row],[monthly installment]]-Table32[[#This Row],[interest]]</f>
        <v>325.56696961343329</v>
      </c>
      <c r="L179" s="52">
        <f>Table32[[#This Row],[opening balance]]-Table32[[#This Row],[principal paid]]</f>
        <v>65904.706923978345</v>
      </c>
    </row>
    <row r="180" spans="7:12">
      <c r="G180">
        <f t="shared" si="13"/>
        <v>178</v>
      </c>
      <c r="H180" s="52">
        <f t="shared" si="14"/>
        <v>65904.706923978345</v>
      </c>
      <c r="I180" s="1">
        <f t="shared" si="10"/>
        <v>822.29402381537159</v>
      </c>
      <c r="J180" s="65">
        <f>$C$12*Table32[[#This Row],[opening balance]]</f>
        <v>494.28530192983754</v>
      </c>
      <c r="K180" s="65">
        <f>Table32[[#This Row],[monthly installment]]-Table32[[#This Row],[interest]]</f>
        <v>328.00872188553404</v>
      </c>
      <c r="L180" s="52">
        <f>Table32[[#This Row],[opening balance]]-Table32[[#This Row],[principal paid]]</f>
        <v>65576.698202092812</v>
      </c>
    </row>
    <row r="181" spans="7:12">
      <c r="G181">
        <f t="shared" si="13"/>
        <v>179</v>
      </c>
      <c r="H181" s="52">
        <f t="shared" si="14"/>
        <v>65576.698202092812</v>
      </c>
      <c r="I181" s="1">
        <f t="shared" si="10"/>
        <v>822.29402381537159</v>
      </c>
      <c r="J181" s="65">
        <f>$C$12*Table32[[#This Row],[opening balance]]</f>
        <v>491.82523651569608</v>
      </c>
      <c r="K181" s="65">
        <f>Table32[[#This Row],[monthly installment]]-Table32[[#This Row],[interest]]</f>
        <v>330.46878729967551</v>
      </c>
      <c r="L181" s="52">
        <f>Table32[[#This Row],[opening balance]]-Table32[[#This Row],[principal paid]]</f>
        <v>65246.229414793139</v>
      </c>
    </row>
    <row r="182" spans="7:12">
      <c r="G182">
        <f t="shared" si="13"/>
        <v>180</v>
      </c>
      <c r="H182" s="52">
        <f t="shared" si="14"/>
        <v>65246.229414793139</v>
      </c>
      <c r="I182" s="1">
        <f t="shared" si="10"/>
        <v>822.29402381537159</v>
      </c>
      <c r="J182" s="65">
        <f>$C$12*Table32[[#This Row],[opening balance]]</f>
        <v>489.34672061094852</v>
      </c>
      <c r="K182" s="65">
        <f>Table32[[#This Row],[monthly installment]]-Table32[[#This Row],[interest]]</f>
        <v>332.94730320442306</v>
      </c>
      <c r="L182" s="52">
        <f>Table32[[#This Row],[opening balance]]-Table32[[#This Row],[principal paid]]</f>
        <v>64913.282111588713</v>
      </c>
    </row>
    <row r="183" spans="7:12">
      <c r="G183">
        <f t="shared" si="13"/>
        <v>181</v>
      </c>
      <c r="H183" s="52">
        <f t="shared" si="14"/>
        <v>64913.282111588713</v>
      </c>
      <c r="I183" s="1">
        <f t="shared" si="10"/>
        <v>822.29402381537159</v>
      </c>
      <c r="J183" s="65">
        <f>$C$12*Table32[[#This Row],[opening balance]]</f>
        <v>486.84961583691535</v>
      </c>
      <c r="K183" s="65">
        <f>Table32[[#This Row],[monthly installment]]-Table32[[#This Row],[interest]]</f>
        <v>335.44440797845624</v>
      </c>
      <c r="L183" s="52">
        <f>Table32[[#This Row],[opening balance]]-Table32[[#This Row],[principal paid]]</f>
        <v>64577.837703610254</v>
      </c>
    </row>
    <row r="184" spans="7:12">
      <c r="G184">
        <f t="shared" si="13"/>
        <v>182</v>
      </c>
      <c r="H184" s="52">
        <f t="shared" si="14"/>
        <v>64577.837703610254</v>
      </c>
      <c r="I184" s="1">
        <f t="shared" si="10"/>
        <v>822.29402381537159</v>
      </c>
      <c r="J184" s="65">
        <f>$C$12*Table32[[#This Row],[opening balance]]</f>
        <v>484.33378277707686</v>
      </c>
      <c r="K184" s="65">
        <f>Table32[[#This Row],[monthly installment]]-Table32[[#This Row],[interest]]</f>
        <v>337.96024103829473</v>
      </c>
      <c r="L184" s="52">
        <f>Table32[[#This Row],[opening balance]]-Table32[[#This Row],[principal paid]]</f>
        <v>64239.87746257196</v>
      </c>
    </row>
    <row r="185" spans="7:12">
      <c r="G185">
        <f t="shared" si="13"/>
        <v>183</v>
      </c>
      <c r="H185" s="52">
        <f t="shared" si="14"/>
        <v>64239.87746257196</v>
      </c>
      <c r="I185" s="1">
        <f t="shared" si="10"/>
        <v>822.29402381537159</v>
      </c>
      <c r="J185" s="65">
        <f>$C$12*Table32[[#This Row],[opening balance]]</f>
        <v>481.79908096928966</v>
      </c>
      <c r="K185" s="65">
        <f>Table32[[#This Row],[monthly installment]]-Table32[[#This Row],[interest]]</f>
        <v>340.49494284608193</v>
      </c>
      <c r="L185" s="52">
        <f>Table32[[#This Row],[opening balance]]-Table32[[#This Row],[principal paid]]</f>
        <v>63899.382519725878</v>
      </c>
    </row>
    <row r="186" spans="7:12">
      <c r="G186">
        <f t="shared" si="13"/>
        <v>184</v>
      </c>
      <c r="H186" s="52">
        <f t="shared" si="14"/>
        <v>63899.382519725878</v>
      </c>
      <c r="I186" s="1">
        <f t="shared" si="10"/>
        <v>822.29402381537159</v>
      </c>
      <c r="J186" s="65">
        <f>$C$12*Table32[[#This Row],[opening balance]]</f>
        <v>479.24536889794405</v>
      </c>
      <c r="K186" s="65">
        <f>Table32[[#This Row],[monthly installment]]-Table32[[#This Row],[interest]]</f>
        <v>343.04865491742754</v>
      </c>
      <c r="L186" s="52">
        <f>Table32[[#This Row],[opening balance]]-Table32[[#This Row],[principal paid]]</f>
        <v>63556.333864808446</v>
      </c>
    </row>
    <row r="187" spans="7:12">
      <c r="G187">
        <f t="shared" si="13"/>
        <v>185</v>
      </c>
      <c r="H187" s="52">
        <f t="shared" si="14"/>
        <v>63556.333864808446</v>
      </c>
      <c r="I187" s="1">
        <f t="shared" si="10"/>
        <v>822.29402381537159</v>
      </c>
      <c r="J187" s="65">
        <f>$C$12*Table32[[#This Row],[opening balance]]</f>
        <v>476.6725039860633</v>
      </c>
      <c r="K187" s="65">
        <f>Table32[[#This Row],[monthly installment]]-Table32[[#This Row],[interest]]</f>
        <v>345.62151982930828</v>
      </c>
      <c r="L187" s="52">
        <f>Table32[[#This Row],[opening balance]]-Table32[[#This Row],[principal paid]]</f>
        <v>63210.71234497914</v>
      </c>
    </row>
    <row r="188" spans="7:12">
      <c r="G188">
        <f t="shared" si="13"/>
        <v>186</v>
      </c>
      <c r="H188" s="52">
        <f t="shared" si="14"/>
        <v>63210.71234497914</v>
      </c>
      <c r="I188" s="1">
        <f t="shared" si="10"/>
        <v>822.29402381537159</v>
      </c>
      <c r="J188" s="65">
        <f>$C$12*Table32[[#This Row],[opening balance]]</f>
        <v>474.08034258734352</v>
      </c>
      <c r="K188" s="65">
        <f>Table32[[#This Row],[monthly installment]]-Table32[[#This Row],[interest]]</f>
        <v>348.21368122802807</v>
      </c>
      <c r="L188" s="52">
        <f>Table32[[#This Row],[opening balance]]-Table32[[#This Row],[principal paid]]</f>
        <v>62862.49866375111</v>
      </c>
    </row>
    <row r="189" spans="7:12">
      <c r="G189">
        <f t="shared" si="13"/>
        <v>187</v>
      </c>
      <c r="H189" s="52">
        <f t="shared" si="14"/>
        <v>62862.49866375111</v>
      </c>
      <c r="I189" s="1">
        <f t="shared" si="10"/>
        <v>822.29402381537159</v>
      </c>
      <c r="J189" s="65">
        <f>$C$12*Table32[[#This Row],[opening balance]]</f>
        <v>471.46873997813333</v>
      </c>
      <c r="K189" s="65">
        <f>Table32[[#This Row],[monthly installment]]-Table32[[#This Row],[interest]]</f>
        <v>350.82528383723826</v>
      </c>
      <c r="L189" s="52">
        <f>Table32[[#This Row],[opening balance]]-Table32[[#This Row],[principal paid]]</f>
        <v>62511.673379913875</v>
      </c>
    </row>
    <row r="190" spans="7:12">
      <c r="G190">
        <f t="shared" si="13"/>
        <v>188</v>
      </c>
      <c r="H190" s="52">
        <f t="shared" si="14"/>
        <v>62511.673379913875</v>
      </c>
      <c r="I190" s="1">
        <f t="shared" si="10"/>
        <v>822.29402381537159</v>
      </c>
      <c r="J190" s="65">
        <f>$C$12*Table32[[#This Row],[opening balance]]</f>
        <v>468.83755034935405</v>
      </c>
      <c r="K190" s="65">
        <f>Table32[[#This Row],[monthly installment]]-Table32[[#This Row],[interest]]</f>
        <v>353.45647346601754</v>
      </c>
      <c r="L190" s="52">
        <f>Table32[[#This Row],[opening balance]]-Table32[[#This Row],[principal paid]]</f>
        <v>62158.216906447858</v>
      </c>
    </row>
    <row r="191" spans="7:12">
      <c r="G191">
        <f t="shared" si="13"/>
        <v>189</v>
      </c>
      <c r="H191" s="52">
        <f t="shared" si="14"/>
        <v>62158.216906447858</v>
      </c>
      <c r="I191" s="1">
        <f t="shared" si="10"/>
        <v>822.29402381537159</v>
      </c>
      <c r="J191" s="65">
        <f>$C$12*Table32[[#This Row],[opening balance]]</f>
        <v>466.18662679835893</v>
      </c>
      <c r="K191" s="65">
        <f>Table32[[#This Row],[monthly installment]]-Table32[[#This Row],[interest]]</f>
        <v>356.10739701701266</v>
      </c>
      <c r="L191" s="52">
        <f>Table32[[#This Row],[opening balance]]-Table32[[#This Row],[principal paid]]</f>
        <v>61802.109509430848</v>
      </c>
    </row>
    <row r="192" spans="7:12">
      <c r="G192">
        <f t="shared" si="13"/>
        <v>190</v>
      </c>
      <c r="H192" s="52">
        <f t="shared" si="14"/>
        <v>61802.109509430848</v>
      </c>
      <c r="I192" s="1">
        <f t="shared" ref="I192:I255" si="15">$C$14</f>
        <v>822.29402381537159</v>
      </c>
      <c r="J192" s="65">
        <f>$C$12*Table32[[#This Row],[opening balance]]</f>
        <v>463.51582132073133</v>
      </c>
      <c r="K192" s="65">
        <f>Table32[[#This Row],[monthly installment]]-Table32[[#This Row],[interest]]</f>
        <v>358.77820249464025</v>
      </c>
      <c r="L192" s="52">
        <f>Table32[[#This Row],[opening balance]]-Table32[[#This Row],[principal paid]]</f>
        <v>61443.331306936205</v>
      </c>
    </row>
    <row r="193" spans="7:12">
      <c r="G193">
        <f t="shared" si="13"/>
        <v>191</v>
      </c>
      <c r="H193" s="52">
        <f t="shared" si="14"/>
        <v>61443.331306936205</v>
      </c>
      <c r="I193" s="1">
        <f t="shared" si="15"/>
        <v>822.29402381537159</v>
      </c>
      <c r="J193" s="65">
        <f>$C$12*Table32[[#This Row],[opening balance]]</f>
        <v>460.8249848020215</v>
      </c>
      <c r="K193" s="65">
        <f>Table32[[#This Row],[monthly installment]]-Table32[[#This Row],[interest]]</f>
        <v>361.46903901335008</v>
      </c>
      <c r="L193" s="52">
        <f>Table32[[#This Row],[opening balance]]-Table32[[#This Row],[principal paid]]</f>
        <v>61081.862267922857</v>
      </c>
    </row>
    <row r="194" spans="7:12">
      <c r="G194">
        <f t="shared" si="13"/>
        <v>192</v>
      </c>
      <c r="H194" s="52">
        <f t="shared" si="14"/>
        <v>61081.862267922857</v>
      </c>
      <c r="I194" s="1">
        <f t="shared" si="15"/>
        <v>822.29402381537159</v>
      </c>
      <c r="J194" s="65">
        <f>$C$12*Table32[[#This Row],[opening balance]]</f>
        <v>458.1139670094214</v>
      </c>
      <c r="K194" s="65">
        <f>Table32[[#This Row],[monthly installment]]-Table32[[#This Row],[interest]]</f>
        <v>364.18005680595019</v>
      </c>
      <c r="L194" s="52">
        <f>Table32[[#This Row],[opening balance]]-Table32[[#This Row],[principal paid]]</f>
        <v>60717.682211116909</v>
      </c>
    </row>
    <row r="195" spans="7:12">
      <c r="G195">
        <f t="shared" si="13"/>
        <v>193</v>
      </c>
      <c r="H195" s="52">
        <f t="shared" si="14"/>
        <v>60717.682211116909</v>
      </c>
      <c r="I195" s="1">
        <f t="shared" si="15"/>
        <v>822.29402381537159</v>
      </c>
      <c r="J195" s="65">
        <f>$C$12*Table32[[#This Row],[opening balance]]</f>
        <v>455.38261658337683</v>
      </c>
      <c r="K195" s="65">
        <f>Table32[[#This Row],[monthly installment]]-Table32[[#This Row],[interest]]</f>
        <v>366.91140723199476</v>
      </c>
      <c r="L195" s="52">
        <f>Table32[[#This Row],[opening balance]]-Table32[[#This Row],[principal paid]]</f>
        <v>60350.770803884916</v>
      </c>
    </row>
    <row r="196" spans="7:12">
      <c r="G196">
        <f t="shared" si="13"/>
        <v>194</v>
      </c>
      <c r="H196" s="52">
        <f t="shared" si="14"/>
        <v>60350.770803884916</v>
      </c>
      <c r="I196" s="1">
        <f t="shared" si="15"/>
        <v>822.29402381537159</v>
      </c>
      <c r="J196" s="65">
        <f>$C$12*Table32[[#This Row],[opening balance]]</f>
        <v>452.63078102913687</v>
      </c>
      <c r="K196" s="65">
        <f>Table32[[#This Row],[monthly installment]]-Table32[[#This Row],[interest]]</f>
        <v>369.66324278623472</v>
      </c>
      <c r="L196" s="52">
        <f>Table32[[#This Row],[opening balance]]-Table32[[#This Row],[principal paid]]</f>
        <v>59981.107561098681</v>
      </c>
    </row>
    <row r="197" spans="7:12">
      <c r="G197">
        <f t="shared" si="13"/>
        <v>195</v>
      </c>
      <c r="H197" s="52">
        <f t="shared" si="14"/>
        <v>59981.107561098681</v>
      </c>
      <c r="I197" s="1">
        <f t="shared" si="15"/>
        <v>822.29402381537159</v>
      </c>
      <c r="J197" s="65">
        <f>$C$12*Table32[[#This Row],[opening balance]]</f>
        <v>449.85830670824009</v>
      </c>
      <c r="K197" s="65">
        <f>Table32[[#This Row],[monthly installment]]-Table32[[#This Row],[interest]]</f>
        <v>372.4357171071315</v>
      </c>
      <c r="L197" s="52">
        <f>Table32[[#This Row],[opening balance]]-Table32[[#This Row],[principal paid]]</f>
        <v>59608.671843991549</v>
      </c>
    </row>
    <row r="198" spans="7:12">
      <c r="G198">
        <f t="shared" si="13"/>
        <v>196</v>
      </c>
      <c r="H198" s="52">
        <f t="shared" si="14"/>
        <v>59608.671843991549</v>
      </c>
      <c r="I198" s="1">
        <f t="shared" si="15"/>
        <v>822.29402381537159</v>
      </c>
      <c r="J198" s="65">
        <f>$C$12*Table32[[#This Row],[opening balance]]</f>
        <v>447.06503882993661</v>
      </c>
      <c r="K198" s="65">
        <f>Table32[[#This Row],[monthly installment]]-Table32[[#This Row],[interest]]</f>
        <v>375.22898498543498</v>
      </c>
      <c r="L198" s="52">
        <f>Table32[[#This Row],[opening balance]]-Table32[[#This Row],[principal paid]]</f>
        <v>59233.442859006114</v>
      </c>
    </row>
    <row r="199" spans="7:12">
      <c r="G199">
        <f t="shared" si="13"/>
        <v>197</v>
      </c>
      <c r="H199" s="52">
        <f t="shared" si="14"/>
        <v>59233.442859006114</v>
      </c>
      <c r="I199" s="1">
        <f t="shared" si="15"/>
        <v>822.29402381537159</v>
      </c>
      <c r="J199" s="65">
        <f>$C$12*Table32[[#This Row],[opening balance]]</f>
        <v>444.25082144254583</v>
      </c>
      <c r="K199" s="65">
        <f>Table32[[#This Row],[monthly installment]]-Table32[[#This Row],[interest]]</f>
        <v>378.04320237282576</v>
      </c>
      <c r="L199" s="52">
        <f>Table32[[#This Row],[opening balance]]-Table32[[#This Row],[principal paid]]</f>
        <v>58855.399656633286</v>
      </c>
    </row>
    <row r="200" spans="7:12">
      <c r="G200">
        <f t="shared" si="13"/>
        <v>198</v>
      </c>
      <c r="H200" s="52">
        <f t="shared" si="14"/>
        <v>58855.399656633286</v>
      </c>
      <c r="I200" s="1">
        <f t="shared" si="15"/>
        <v>822.29402381537159</v>
      </c>
      <c r="J200" s="65">
        <f>$C$12*Table32[[#This Row],[opening balance]]</f>
        <v>441.41549742474962</v>
      </c>
      <c r="K200" s="65">
        <f>Table32[[#This Row],[monthly installment]]-Table32[[#This Row],[interest]]</f>
        <v>380.87852639062197</v>
      </c>
      <c r="L200" s="52">
        <f>Table32[[#This Row],[opening balance]]-Table32[[#This Row],[principal paid]]</f>
        <v>58474.521130242661</v>
      </c>
    </row>
    <row r="201" spans="7:12">
      <c r="G201">
        <f t="shared" si="13"/>
        <v>199</v>
      </c>
      <c r="H201" s="52">
        <f t="shared" si="14"/>
        <v>58474.521130242661</v>
      </c>
      <c r="I201" s="1">
        <f t="shared" si="15"/>
        <v>822.29402381537159</v>
      </c>
      <c r="J201" s="65">
        <f>$C$12*Table32[[#This Row],[opening balance]]</f>
        <v>438.55890847681997</v>
      </c>
      <c r="K201" s="65">
        <f>Table32[[#This Row],[monthly installment]]-Table32[[#This Row],[interest]]</f>
        <v>383.73511533855162</v>
      </c>
      <c r="L201" s="52">
        <f>Table32[[#This Row],[opening balance]]-Table32[[#This Row],[principal paid]]</f>
        <v>58090.786014904108</v>
      </c>
    </row>
    <row r="202" spans="7:12">
      <c r="G202">
        <f t="shared" si="13"/>
        <v>200</v>
      </c>
      <c r="H202" s="52">
        <f t="shared" si="14"/>
        <v>58090.786014904108</v>
      </c>
      <c r="I202" s="1">
        <f t="shared" si="15"/>
        <v>822.29402381537159</v>
      </c>
      <c r="J202" s="65">
        <f>$C$12*Table32[[#This Row],[opening balance]]</f>
        <v>435.68089511178079</v>
      </c>
      <c r="K202" s="65">
        <f>Table32[[#This Row],[monthly installment]]-Table32[[#This Row],[interest]]</f>
        <v>386.6131287035908</v>
      </c>
      <c r="L202" s="52">
        <f>Table32[[#This Row],[opening balance]]-Table32[[#This Row],[principal paid]]</f>
        <v>57704.172886200518</v>
      </c>
    </row>
    <row r="203" spans="7:12">
      <c r="G203">
        <f t="shared" si="13"/>
        <v>201</v>
      </c>
      <c r="H203" s="52">
        <f t="shared" si="14"/>
        <v>57704.172886200518</v>
      </c>
      <c r="I203" s="1">
        <f t="shared" si="15"/>
        <v>822.29402381537159</v>
      </c>
      <c r="J203" s="65">
        <f>$C$12*Table32[[#This Row],[opening balance]]</f>
        <v>432.78129664650385</v>
      </c>
      <c r="K203" s="65">
        <f>Table32[[#This Row],[monthly installment]]-Table32[[#This Row],[interest]]</f>
        <v>389.51272716886774</v>
      </c>
      <c r="L203" s="52">
        <f>Table32[[#This Row],[opening balance]]-Table32[[#This Row],[principal paid]]</f>
        <v>57314.66015903165</v>
      </c>
    </row>
    <row r="204" spans="7:12">
      <c r="G204">
        <f t="shared" si="13"/>
        <v>202</v>
      </c>
      <c r="H204" s="52">
        <f t="shared" si="14"/>
        <v>57314.66015903165</v>
      </c>
      <c r="I204" s="1">
        <f t="shared" si="15"/>
        <v>822.29402381537159</v>
      </c>
      <c r="J204" s="65">
        <f>$C$12*Table32[[#This Row],[opening balance]]</f>
        <v>429.85995119273736</v>
      </c>
      <c r="K204" s="65">
        <f>Table32[[#This Row],[monthly installment]]-Table32[[#This Row],[interest]]</f>
        <v>392.43407262263423</v>
      </c>
      <c r="L204" s="52">
        <f>Table32[[#This Row],[opening balance]]-Table32[[#This Row],[principal paid]]</f>
        <v>56922.226086409013</v>
      </c>
    </row>
    <row r="205" spans="7:12">
      <c r="G205">
        <f t="shared" si="13"/>
        <v>203</v>
      </c>
      <c r="H205" s="52">
        <f t="shared" si="14"/>
        <v>56922.226086409013</v>
      </c>
      <c r="I205" s="1">
        <f t="shared" si="15"/>
        <v>822.29402381537159</v>
      </c>
      <c r="J205" s="65">
        <f>$C$12*Table32[[#This Row],[opening balance]]</f>
        <v>426.91669564806756</v>
      </c>
      <c r="K205" s="65">
        <f>Table32[[#This Row],[monthly installment]]-Table32[[#This Row],[interest]]</f>
        <v>395.37732816730403</v>
      </c>
      <c r="L205" s="52">
        <f>Table32[[#This Row],[opening balance]]-Table32[[#This Row],[principal paid]]</f>
        <v>56526.848758241707</v>
      </c>
    </row>
    <row r="206" spans="7:12">
      <c r="G206">
        <f t="shared" si="13"/>
        <v>204</v>
      </c>
      <c r="H206" s="52">
        <f t="shared" si="14"/>
        <v>56526.848758241707</v>
      </c>
      <c r="I206" s="1">
        <f t="shared" si="15"/>
        <v>822.29402381537159</v>
      </c>
      <c r="J206" s="65">
        <f>$C$12*Table32[[#This Row],[opening balance]]</f>
        <v>423.95136568681278</v>
      </c>
      <c r="K206" s="65">
        <f>Table32[[#This Row],[monthly installment]]-Table32[[#This Row],[interest]]</f>
        <v>398.34265812855881</v>
      </c>
      <c r="L206" s="52">
        <f>Table32[[#This Row],[opening balance]]-Table32[[#This Row],[principal paid]]</f>
        <v>56128.506100113147</v>
      </c>
    </row>
    <row r="207" spans="7:12">
      <c r="G207">
        <f t="shared" si="13"/>
        <v>205</v>
      </c>
      <c r="H207" s="52">
        <f t="shared" si="14"/>
        <v>56128.506100113147</v>
      </c>
      <c r="I207" s="1">
        <f t="shared" si="15"/>
        <v>822.29402381537159</v>
      </c>
      <c r="J207" s="65">
        <f>$C$12*Table32[[#This Row],[opening balance]]</f>
        <v>420.96379575084859</v>
      </c>
      <c r="K207" s="65">
        <f>Table32[[#This Row],[monthly installment]]-Table32[[#This Row],[interest]]</f>
        <v>401.330228064523</v>
      </c>
      <c r="L207" s="52">
        <f>Table32[[#This Row],[opening balance]]-Table32[[#This Row],[principal paid]]</f>
        <v>55727.175872048625</v>
      </c>
    </row>
    <row r="208" spans="7:12">
      <c r="G208">
        <f t="shared" si="13"/>
        <v>206</v>
      </c>
      <c r="H208" s="52">
        <f t="shared" si="14"/>
        <v>55727.175872048625</v>
      </c>
      <c r="I208" s="1">
        <f t="shared" si="15"/>
        <v>822.29402381537159</v>
      </c>
      <c r="J208" s="65">
        <f>$C$12*Table32[[#This Row],[opening balance]]</f>
        <v>417.95381904036469</v>
      </c>
      <c r="K208" s="65">
        <f>Table32[[#This Row],[monthly installment]]-Table32[[#This Row],[interest]]</f>
        <v>404.3402047750069</v>
      </c>
      <c r="L208" s="52">
        <f>Table32[[#This Row],[opening balance]]-Table32[[#This Row],[principal paid]]</f>
        <v>55322.835667273619</v>
      </c>
    </row>
    <row r="209" spans="7:12">
      <c r="G209">
        <f t="shared" si="13"/>
        <v>207</v>
      </c>
      <c r="H209" s="52">
        <f t="shared" si="14"/>
        <v>55322.835667273619</v>
      </c>
      <c r="I209" s="1">
        <f t="shared" si="15"/>
        <v>822.29402381537159</v>
      </c>
      <c r="J209" s="65">
        <f>$C$12*Table32[[#This Row],[opening balance]]</f>
        <v>414.92126750455213</v>
      </c>
      <c r="K209" s="65">
        <f>Table32[[#This Row],[monthly installment]]-Table32[[#This Row],[interest]]</f>
        <v>407.37275631081945</v>
      </c>
      <c r="L209" s="52">
        <f>Table32[[#This Row],[opening balance]]-Table32[[#This Row],[principal paid]]</f>
        <v>54915.4629109628</v>
      </c>
    </row>
    <row r="210" spans="7:12">
      <c r="G210">
        <f t="shared" si="13"/>
        <v>208</v>
      </c>
      <c r="H210" s="52">
        <f t="shared" si="14"/>
        <v>54915.4629109628</v>
      </c>
      <c r="I210" s="1">
        <f t="shared" si="15"/>
        <v>822.29402381537159</v>
      </c>
      <c r="J210" s="65">
        <f>$C$12*Table32[[#This Row],[opening balance]]</f>
        <v>411.86597183222096</v>
      </c>
      <c r="K210" s="65">
        <f>Table32[[#This Row],[monthly installment]]-Table32[[#This Row],[interest]]</f>
        <v>410.42805198315062</v>
      </c>
      <c r="L210" s="52">
        <f>Table32[[#This Row],[opening balance]]-Table32[[#This Row],[principal paid]]</f>
        <v>54505.034858979649</v>
      </c>
    </row>
    <row r="211" spans="7:12">
      <c r="G211">
        <f t="shared" si="13"/>
        <v>209</v>
      </c>
      <c r="H211" s="52">
        <f t="shared" ref="H211:H235" si="16">L210</f>
        <v>54505.034858979649</v>
      </c>
      <c r="I211" s="1">
        <f t="shared" si="15"/>
        <v>822.29402381537159</v>
      </c>
      <c r="J211" s="65">
        <f>$C$12*Table32[[#This Row],[opening balance]]</f>
        <v>408.78776144234735</v>
      </c>
      <c r="K211" s="65">
        <f>Table32[[#This Row],[monthly installment]]-Table32[[#This Row],[interest]]</f>
        <v>413.50626237302424</v>
      </c>
      <c r="L211" s="52">
        <f>Table32[[#This Row],[opening balance]]-Table32[[#This Row],[principal paid]]</f>
        <v>54091.528596606622</v>
      </c>
    </row>
    <row r="212" spans="7:12">
      <c r="G212">
        <f t="shared" si="13"/>
        <v>210</v>
      </c>
      <c r="H212" s="52">
        <f t="shared" si="16"/>
        <v>54091.528596606622</v>
      </c>
      <c r="I212" s="1">
        <f t="shared" si="15"/>
        <v>822.29402381537159</v>
      </c>
      <c r="J212" s="65">
        <f>$C$12*Table32[[#This Row],[opening balance]]</f>
        <v>405.68646447454967</v>
      </c>
      <c r="K212" s="65">
        <f>Table32[[#This Row],[monthly installment]]-Table32[[#This Row],[interest]]</f>
        <v>416.60755934082192</v>
      </c>
      <c r="L212" s="52">
        <f>Table32[[#This Row],[opening balance]]-Table32[[#This Row],[principal paid]]</f>
        <v>53674.921037265798</v>
      </c>
    </row>
    <row r="213" spans="7:12">
      <c r="G213">
        <f t="shared" si="13"/>
        <v>211</v>
      </c>
      <c r="H213" s="52">
        <f t="shared" si="16"/>
        <v>53674.921037265798</v>
      </c>
      <c r="I213" s="1">
        <f t="shared" si="15"/>
        <v>822.29402381537159</v>
      </c>
      <c r="J213" s="65">
        <f>$C$12*Table32[[#This Row],[opening balance]]</f>
        <v>402.56190777949348</v>
      </c>
      <c r="K213" s="65">
        <f>Table32[[#This Row],[monthly installment]]-Table32[[#This Row],[interest]]</f>
        <v>419.73211603587811</v>
      </c>
      <c r="L213" s="52">
        <f>Table32[[#This Row],[opening balance]]-Table32[[#This Row],[principal paid]]</f>
        <v>53255.188921229921</v>
      </c>
    </row>
    <row r="214" spans="7:12">
      <c r="G214">
        <f t="shared" ref="G214:G277" si="17">1+G213</f>
        <v>212</v>
      </c>
      <c r="H214" s="52">
        <f t="shared" si="16"/>
        <v>53255.188921229921</v>
      </c>
      <c r="I214" s="1">
        <f t="shared" si="15"/>
        <v>822.29402381537159</v>
      </c>
      <c r="J214" s="65">
        <f>$C$12*Table32[[#This Row],[opening balance]]</f>
        <v>399.41391690922438</v>
      </c>
      <c r="K214" s="65">
        <f>Table32[[#This Row],[monthly installment]]-Table32[[#This Row],[interest]]</f>
        <v>422.8801069061472</v>
      </c>
      <c r="L214" s="52">
        <f>Table32[[#This Row],[opening balance]]-Table32[[#This Row],[principal paid]]</f>
        <v>52832.308814323776</v>
      </c>
    </row>
    <row r="215" spans="7:12">
      <c r="G215">
        <f t="shared" si="17"/>
        <v>213</v>
      </c>
      <c r="H215" s="52">
        <f t="shared" si="16"/>
        <v>52832.308814323776</v>
      </c>
      <c r="I215" s="1">
        <f t="shared" si="15"/>
        <v>822.29402381537159</v>
      </c>
      <c r="J215" s="65">
        <f>$C$12*Table32[[#This Row],[opening balance]]</f>
        <v>396.24231610742834</v>
      </c>
      <c r="K215" s="65">
        <f>Table32[[#This Row],[monthly installment]]-Table32[[#This Row],[interest]]</f>
        <v>426.05170770794325</v>
      </c>
      <c r="L215" s="52">
        <f>Table32[[#This Row],[opening balance]]-Table32[[#This Row],[principal paid]]</f>
        <v>52406.257106615834</v>
      </c>
    </row>
    <row r="216" spans="7:12">
      <c r="G216">
        <f t="shared" si="17"/>
        <v>214</v>
      </c>
      <c r="H216" s="52">
        <f t="shared" si="16"/>
        <v>52406.257106615834</v>
      </c>
      <c r="I216" s="1">
        <f t="shared" si="15"/>
        <v>822.29402381537159</v>
      </c>
      <c r="J216" s="65">
        <f>$C$12*Table32[[#This Row],[opening balance]]</f>
        <v>393.04692829961874</v>
      </c>
      <c r="K216" s="65">
        <f>Table32[[#This Row],[monthly installment]]-Table32[[#This Row],[interest]]</f>
        <v>429.24709551575285</v>
      </c>
      <c r="L216" s="52">
        <f>Table32[[#This Row],[opening balance]]-Table32[[#This Row],[principal paid]]</f>
        <v>51977.010011100079</v>
      </c>
    </row>
    <row r="217" spans="7:12">
      <c r="G217">
        <f t="shared" si="17"/>
        <v>215</v>
      </c>
      <c r="H217" s="52">
        <f t="shared" si="16"/>
        <v>51977.010011100079</v>
      </c>
      <c r="I217" s="1">
        <f t="shared" si="15"/>
        <v>822.29402381537159</v>
      </c>
      <c r="J217" s="65">
        <f>$C$12*Table32[[#This Row],[opening balance]]</f>
        <v>389.82757508325057</v>
      </c>
      <c r="K217" s="65">
        <f>Table32[[#This Row],[monthly installment]]-Table32[[#This Row],[interest]]</f>
        <v>432.46644873212102</v>
      </c>
      <c r="L217" s="52">
        <f>Table32[[#This Row],[opening balance]]-Table32[[#This Row],[principal paid]]</f>
        <v>51544.543562367959</v>
      </c>
    </row>
    <row r="218" spans="7:12">
      <c r="G218">
        <f t="shared" si="17"/>
        <v>216</v>
      </c>
      <c r="H218" s="52">
        <f t="shared" si="16"/>
        <v>51544.543562367959</v>
      </c>
      <c r="I218" s="1">
        <f t="shared" si="15"/>
        <v>822.29402381537159</v>
      </c>
      <c r="J218" s="65">
        <f>$C$12*Table32[[#This Row],[opening balance]]</f>
        <v>386.58407671775967</v>
      </c>
      <c r="K218" s="65">
        <f>Table32[[#This Row],[monthly installment]]-Table32[[#This Row],[interest]]</f>
        <v>435.70994709761192</v>
      </c>
      <c r="L218" s="52">
        <f>Table32[[#This Row],[opening balance]]-Table32[[#This Row],[principal paid]]</f>
        <v>51108.833615270349</v>
      </c>
    </row>
    <row r="219" spans="7:12">
      <c r="G219">
        <f t="shared" si="17"/>
        <v>217</v>
      </c>
      <c r="H219" s="52">
        <f t="shared" si="16"/>
        <v>51108.833615270349</v>
      </c>
      <c r="I219" s="1">
        <f t="shared" si="15"/>
        <v>822.29402381537159</v>
      </c>
      <c r="J219" s="65">
        <f>$C$12*Table32[[#This Row],[opening balance]]</f>
        <v>383.31625211452763</v>
      </c>
      <c r="K219" s="65">
        <f>Table32[[#This Row],[monthly installment]]-Table32[[#This Row],[interest]]</f>
        <v>438.97777170084396</v>
      </c>
      <c r="L219" s="52">
        <f>Table32[[#This Row],[opening balance]]-Table32[[#This Row],[principal paid]]</f>
        <v>50669.855843569501</v>
      </c>
    </row>
    <row r="220" spans="7:12">
      <c r="G220">
        <f t="shared" si="17"/>
        <v>218</v>
      </c>
      <c r="H220" s="52">
        <f t="shared" si="16"/>
        <v>50669.855843569501</v>
      </c>
      <c r="I220" s="1">
        <f t="shared" si="15"/>
        <v>822.29402381537159</v>
      </c>
      <c r="J220" s="65">
        <f>$C$12*Table32[[#This Row],[opening balance]]</f>
        <v>380.02391882677125</v>
      </c>
      <c r="K220" s="65">
        <f>Table32[[#This Row],[monthly installment]]-Table32[[#This Row],[interest]]</f>
        <v>442.27010498860034</v>
      </c>
      <c r="L220" s="52">
        <f>Table32[[#This Row],[opening balance]]-Table32[[#This Row],[principal paid]]</f>
        <v>50227.585738580899</v>
      </c>
    </row>
    <row r="221" spans="7:12">
      <c r="G221">
        <f t="shared" si="17"/>
        <v>219</v>
      </c>
      <c r="H221" s="52">
        <f t="shared" si="16"/>
        <v>50227.585738580899</v>
      </c>
      <c r="I221" s="1">
        <f t="shared" si="15"/>
        <v>822.29402381537159</v>
      </c>
      <c r="J221" s="65">
        <f>$C$12*Table32[[#This Row],[opening balance]]</f>
        <v>376.70689303935671</v>
      </c>
      <c r="K221" s="65">
        <f>Table32[[#This Row],[monthly installment]]-Table32[[#This Row],[interest]]</f>
        <v>445.58713077601487</v>
      </c>
      <c r="L221" s="52">
        <f>Table32[[#This Row],[opening balance]]-Table32[[#This Row],[principal paid]]</f>
        <v>49781.998607804882</v>
      </c>
    </row>
    <row r="222" spans="7:12">
      <c r="G222">
        <f t="shared" si="17"/>
        <v>220</v>
      </c>
      <c r="H222" s="52">
        <f t="shared" si="16"/>
        <v>49781.998607804882</v>
      </c>
      <c r="I222" s="1">
        <f t="shared" si="15"/>
        <v>822.29402381537159</v>
      </c>
      <c r="J222" s="65">
        <f>$C$12*Table32[[#This Row],[opening balance]]</f>
        <v>373.36498955853659</v>
      </c>
      <c r="K222" s="65">
        <f>Table32[[#This Row],[monthly installment]]-Table32[[#This Row],[interest]]</f>
        <v>448.929034256835</v>
      </c>
      <c r="L222" s="52">
        <f>Table32[[#This Row],[opening balance]]-Table32[[#This Row],[principal paid]]</f>
        <v>49333.069573548048</v>
      </c>
    </row>
    <row r="223" spans="7:12">
      <c r="G223">
        <f t="shared" si="17"/>
        <v>221</v>
      </c>
      <c r="H223" s="52">
        <f t="shared" si="16"/>
        <v>49333.069573548048</v>
      </c>
      <c r="I223" s="1">
        <f t="shared" si="15"/>
        <v>822.29402381537159</v>
      </c>
      <c r="J223" s="65">
        <f>$C$12*Table32[[#This Row],[opening balance]]</f>
        <v>369.99802180161032</v>
      </c>
      <c r="K223" s="65">
        <f>Table32[[#This Row],[monthly installment]]-Table32[[#This Row],[interest]]</f>
        <v>452.29600201376127</v>
      </c>
      <c r="L223" s="52">
        <f>Table32[[#This Row],[opening balance]]-Table32[[#This Row],[principal paid]]</f>
        <v>48880.773571534286</v>
      </c>
    </row>
    <row r="224" spans="7:12">
      <c r="G224">
        <f t="shared" si="17"/>
        <v>222</v>
      </c>
      <c r="H224" s="52">
        <f t="shared" si="16"/>
        <v>48880.773571534286</v>
      </c>
      <c r="I224" s="1">
        <f t="shared" si="15"/>
        <v>822.29402381537159</v>
      </c>
      <c r="J224" s="65">
        <f>$C$12*Table32[[#This Row],[opening balance]]</f>
        <v>366.60580178650713</v>
      </c>
      <c r="K224" s="65">
        <f>Table32[[#This Row],[monthly installment]]-Table32[[#This Row],[interest]]</f>
        <v>455.68822202886446</v>
      </c>
      <c r="L224" s="52">
        <f>Table32[[#This Row],[opening balance]]-Table32[[#This Row],[principal paid]]</f>
        <v>48425.085349505418</v>
      </c>
    </row>
    <row r="225" spans="7:12">
      <c r="G225">
        <f t="shared" si="17"/>
        <v>223</v>
      </c>
      <c r="H225" s="52">
        <f t="shared" si="16"/>
        <v>48425.085349505418</v>
      </c>
      <c r="I225" s="1">
        <f t="shared" si="15"/>
        <v>822.29402381537159</v>
      </c>
      <c r="J225" s="65">
        <f>$C$12*Table32[[#This Row],[opening balance]]</f>
        <v>363.18814012129064</v>
      </c>
      <c r="K225" s="65">
        <f>Table32[[#This Row],[monthly installment]]-Table32[[#This Row],[interest]]</f>
        <v>459.10588369408094</v>
      </c>
      <c r="L225" s="52">
        <f>Table32[[#This Row],[opening balance]]-Table32[[#This Row],[principal paid]]</f>
        <v>47965.979465811339</v>
      </c>
    </row>
    <row r="226" spans="7:12">
      <c r="G226">
        <f t="shared" si="17"/>
        <v>224</v>
      </c>
      <c r="H226" s="52">
        <f t="shared" si="16"/>
        <v>47965.979465811339</v>
      </c>
      <c r="I226" s="1">
        <f t="shared" si="15"/>
        <v>822.29402381537159</v>
      </c>
      <c r="J226" s="65">
        <f>$C$12*Table32[[#This Row],[opening balance]]</f>
        <v>359.74484599358505</v>
      </c>
      <c r="K226" s="65">
        <f>Table32[[#This Row],[monthly installment]]-Table32[[#This Row],[interest]]</f>
        <v>462.54917782178654</v>
      </c>
      <c r="L226" s="52">
        <f>Table32[[#This Row],[opening balance]]-Table32[[#This Row],[principal paid]]</f>
        <v>47503.430287989555</v>
      </c>
    </row>
    <row r="227" spans="7:12">
      <c r="G227">
        <f t="shared" si="17"/>
        <v>225</v>
      </c>
      <c r="H227" s="52">
        <f t="shared" si="16"/>
        <v>47503.430287989555</v>
      </c>
      <c r="I227" s="1">
        <f t="shared" si="15"/>
        <v>822.29402381537159</v>
      </c>
      <c r="J227" s="65">
        <f>$C$12*Table32[[#This Row],[opening balance]]</f>
        <v>356.27572715992164</v>
      </c>
      <c r="K227" s="65">
        <f>Table32[[#This Row],[monthly installment]]-Table32[[#This Row],[interest]]</f>
        <v>466.01829665544994</v>
      </c>
      <c r="L227" s="52">
        <f>Table32[[#This Row],[opening balance]]-Table32[[#This Row],[principal paid]]</f>
        <v>47037.411991334106</v>
      </c>
    </row>
    <row r="228" spans="7:12">
      <c r="G228">
        <f t="shared" si="17"/>
        <v>226</v>
      </c>
      <c r="H228" s="52">
        <f t="shared" si="16"/>
        <v>47037.411991334106</v>
      </c>
      <c r="I228" s="1">
        <f t="shared" si="15"/>
        <v>822.29402381537159</v>
      </c>
      <c r="J228" s="65">
        <f>$C$12*Table32[[#This Row],[opening balance]]</f>
        <v>352.78058993500576</v>
      </c>
      <c r="K228" s="65">
        <f>Table32[[#This Row],[monthly installment]]-Table32[[#This Row],[interest]]</f>
        <v>469.51343388036582</v>
      </c>
      <c r="L228" s="52">
        <f>Table32[[#This Row],[opening balance]]-Table32[[#This Row],[principal paid]]</f>
        <v>46567.898557453736</v>
      </c>
    </row>
    <row r="229" spans="7:12">
      <c r="G229">
        <f t="shared" si="17"/>
        <v>227</v>
      </c>
      <c r="H229" s="52">
        <f t="shared" si="16"/>
        <v>46567.898557453736</v>
      </c>
      <c r="I229" s="1">
        <f t="shared" si="15"/>
        <v>822.29402381537159</v>
      </c>
      <c r="J229" s="65">
        <f>$C$12*Table32[[#This Row],[opening balance]]</f>
        <v>349.25923918090302</v>
      </c>
      <c r="K229" s="65">
        <f>Table32[[#This Row],[monthly installment]]-Table32[[#This Row],[interest]]</f>
        <v>473.03478463446856</v>
      </c>
      <c r="L229" s="52">
        <f>Table32[[#This Row],[opening balance]]-Table32[[#This Row],[principal paid]]</f>
        <v>46094.86377281927</v>
      </c>
    </row>
    <row r="230" spans="7:12">
      <c r="G230">
        <f t="shared" si="17"/>
        <v>228</v>
      </c>
      <c r="H230" s="52">
        <f t="shared" si="16"/>
        <v>46094.86377281927</v>
      </c>
      <c r="I230" s="1">
        <f t="shared" si="15"/>
        <v>822.29402381537159</v>
      </c>
      <c r="J230" s="65">
        <f>$C$12*Table32[[#This Row],[opening balance]]</f>
        <v>345.71147829614449</v>
      </c>
      <c r="K230" s="65">
        <f>Table32[[#This Row],[monthly installment]]-Table32[[#This Row],[interest]]</f>
        <v>476.5825455192271</v>
      </c>
      <c r="L230" s="52">
        <f>Table32[[#This Row],[opening balance]]-Table32[[#This Row],[principal paid]]</f>
        <v>45618.281227300045</v>
      </c>
    </row>
    <row r="231" spans="7:12">
      <c r="G231">
        <f t="shared" si="17"/>
        <v>229</v>
      </c>
      <c r="H231" s="52">
        <f t="shared" si="16"/>
        <v>45618.281227300045</v>
      </c>
      <c r="I231" s="1">
        <f t="shared" si="15"/>
        <v>822.29402381537159</v>
      </c>
      <c r="J231" s="65">
        <f>$C$12*Table32[[#This Row],[opening balance]]</f>
        <v>342.13710920475035</v>
      </c>
      <c r="K231" s="65">
        <f>Table32[[#This Row],[monthly installment]]-Table32[[#This Row],[interest]]</f>
        <v>480.15691461062124</v>
      </c>
      <c r="L231" s="52">
        <f>Table32[[#This Row],[opening balance]]-Table32[[#This Row],[principal paid]]</f>
        <v>45138.124312689426</v>
      </c>
    </row>
    <row r="232" spans="7:12">
      <c r="G232">
        <f t="shared" si="17"/>
        <v>230</v>
      </c>
      <c r="H232" s="52">
        <f t="shared" si="16"/>
        <v>45138.124312689426</v>
      </c>
      <c r="I232" s="1">
        <f t="shared" si="15"/>
        <v>822.29402381537159</v>
      </c>
      <c r="J232" s="65">
        <f>$C$12*Table32[[#This Row],[opening balance]]</f>
        <v>338.53593234517069</v>
      </c>
      <c r="K232" s="65">
        <f>Table32[[#This Row],[monthly installment]]-Table32[[#This Row],[interest]]</f>
        <v>483.7580914702009</v>
      </c>
      <c r="L232" s="52">
        <f>Table32[[#This Row],[opening balance]]-Table32[[#This Row],[principal paid]]</f>
        <v>44654.366221219228</v>
      </c>
    </row>
    <row r="233" spans="7:12">
      <c r="G233">
        <f t="shared" si="17"/>
        <v>231</v>
      </c>
      <c r="H233" s="52">
        <f t="shared" si="16"/>
        <v>44654.366221219228</v>
      </c>
      <c r="I233" s="1">
        <f t="shared" si="15"/>
        <v>822.29402381537159</v>
      </c>
      <c r="J233" s="65">
        <f>$C$12*Table32[[#This Row],[opening balance]]</f>
        <v>334.90774665914421</v>
      </c>
      <c r="K233" s="65">
        <f>Table32[[#This Row],[monthly installment]]-Table32[[#This Row],[interest]]</f>
        <v>487.38627715622738</v>
      </c>
      <c r="L233" s="52">
        <f>Table32[[#This Row],[opening balance]]-Table32[[#This Row],[principal paid]]</f>
        <v>44166.979944063001</v>
      </c>
    </row>
    <row r="234" spans="7:12">
      <c r="G234">
        <f t="shared" si="17"/>
        <v>232</v>
      </c>
      <c r="H234" s="52">
        <f t="shared" si="16"/>
        <v>44166.979944063001</v>
      </c>
      <c r="I234" s="1">
        <f t="shared" si="15"/>
        <v>822.29402381537159</v>
      </c>
      <c r="J234" s="65">
        <f>$C$12*Table32[[#This Row],[opening balance]]</f>
        <v>331.25234958047253</v>
      </c>
      <c r="K234" s="65">
        <f>Table32[[#This Row],[monthly installment]]-Table32[[#This Row],[interest]]</f>
        <v>491.04167423489906</v>
      </c>
      <c r="L234" s="52">
        <f>Table32[[#This Row],[opening balance]]-Table32[[#This Row],[principal paid]]</f>
        <v>43675.938269828104</v>
      </c>
    </row>
    <row r="235" spans="7:12">
      <c r="G235">
        <f t="shared" si="17"/>
        <v>233</v>
      </c>
      <c r="H235" s="52">
        <f t="shared" si="16"/>
        <v>43675.938269828104</v>
      </c>
      <c r="I235" s="1">
        <f t="shared" si="15"/>
        <v>822.29402381537159</v>
      </c>
      <c r="J235" s="65">
        <f>$C$12*Table32[[#This Row],[opening balance]]</f>
        <v>327.56953702371078</v>
      </c>
      <c r="K235" s="65">
        <f>Table32[[#This Row],[monthly installment]]-Table32[[#This Row],[interest]]</f>
        <v>494.72448679166081</v>
      </c>
      <c r="L235" s="52">
        <f>Table32[[#This Row],[opening balance]]-Table32[[#This Row],[principal paid]]</f>
        <v>43181.213783036445</v>
      </c>
    </row>
    <row r="236" spans="7:12">
      <c r="G236">
        <f t="shared" si="17"/>
        <v>234</v>
      </c>
      <c r="H236" s="52">
        <f t="shared" ref="H236:H245" si="18">L235</f>
        <v>43181.213783036445</v>
      </c>
      <c r="I236" s="1">
        <f t="shared" si="15"/>
        <v>822.29402381537159</v>
      </c>
      <c r="J236" s="65">
        <f>$C$12*Table32[[#This Row],[opening balance]]</f>
        <v>323.85910337277335</v>
      </c>
      <c r="K236" s="65">
        <f>Table32[[#This Row],[monthly installment]]-Table32[[#This Row],[interest]]</f>
        <v>498.43492044259824</v>
      </c>
      <c r="L236" s="52">
        <f>Table32[[#This Row],[opening balance]]-Table32[[#This Row],[principal paid]]</f>
        <v>42682.778862593848</v>
      </c>
    </row>
    <row r="237" spans="7:12">
      <c r="G237">
        <f t="shared" si="17"/>
        <v>235</v>
      </c>
      <c r="H237" s="52">
        <f t="shared" si="18"/>
        <v>42682.778862593848</v>
      </c>
      <c r="I237" s="1">
        <f t="shared" si="15"/>
        <v>822.29402381537159</v>
      </c>
      <c r="J237" s="65">
        <f>$C$12*Table32[[#This Row],[opening balance]]</f>
        <v>320.12084146945386</v>
      </c>
      <c r="K237" s="65">
        <f>Table32[[#This Row],[monthly installment]]-Table32[[#This Row],[interest]]</f>
        <v>502.17318234591772</v>
      </c>
      <c r="L237" s="52">
        <f>Table32[[#This Row],[opening balance]]-Table32[[#This Row],[principal paid]]</f>
        <v>42180.605680247929</v>
      </c>
    </row>
    <row r="238" spans="7:12">
      <c r="G238">
        <f t="shared" si="17"/>
        <v>236</v>
      </c>
      <c r="H238" s="52">
        <f t="shared" si="18"/>
        <v>42180.605680247929</v>
      </c>
      <c r="I238" s="1">
        <f t="shared" si="15"/>
        <v>822.29402381537159</v>
      </c>
      <c r="J238" s="65">
        <f>$C$12*Table32[[#This Row],[opening balance]]</f>
        <v>316.35454260185946</v>
      </c>
      <c r="K238" s="65">
        <f>Table32[[#This Row],[monthly installment]]-Table32[[#This Row],[interest]]</f>
        <v>505.93948121351212</v>
      </c>
      <c r="L238" s="52">
        <f>Table32[[#This Row],[opening balance]]-Table32[[#This Row],[principal paid]]</f>
        <v>41674.666199034415</v>
      </c>
    </row>
    <row r="239" spans="7:12">
      <c r="G239">
        <f t="shared" si="17"/>
        <v>237</v>
      </c>
      <c r="H239" s="52">
        <f t="shared" si="18"/>
        <v>41674.666199034415</v>
      </c>
      <c r="I239" s="1">
        <f t="shared" si="15"/>
        <v>822.29402381537159</v>
      </c>
      <c r="J239" s="65">
        <f>$C$12*Table32[[#This Row],[opening balance]]</f>
        <v>312.5599964927581</v>
      </c>
      <c r="K239" s="65">
        <f>Table32[[#This Row],[monthly installment]]-Table32[[#This Row],[interest]]</f>
        <v>509.73402732261349</v>
      </c>
      <c r="L239" s="52">
        <f>Table32[[#This Row],[opening balance]]-Table32[[#This Row],[principal paid]]</f>
        <v>41164.9321717118</v>
      </c>
    </row>
    <row r="240" spans="7:12">
      <c r="G240">
        <f t="shared" si="17"/>
        <v>238</v>
      </c>
      <c r="H240" s="52">
        <f t="shared" si="18"/>
        <v>41164.9321717118</v>
      </c>
      <c r="I240" s="1">
        <f t="shared" si="15"/>
        <v>822.29402381537159</v>
      </c>
      <c r="J240" s="65">
        <f>$C$12*Table32[[#This Row],[opening balance]]</f>
        <v>308.73699128783846</v>
      </c>
      <c r="K240" s="65">
        <f>Table32[[#This Row],[monthly installment]]-Table32[[#This Row],[interest]]</f>
        <v>513.55703252753312</v>
      </c>
      <c r="L240" s="52">
        <f>Table32[[#This Row],[opening balance]]-Table32[[#This Row],[principal paid]]</f>
        <v>40651.375139184267</v>
      </c>
    </row>
    <row r="241" spans="7:12">
      <c r="G241">
        <f t="shared" si="17"/>
        <v>239</v>
      </c>
      <c r="H241" s="52">
        <f t="shared" si="18"/>
        <v>40651.375139184267</v>
      </c>
      <c r="I241" s="1">
        <f t="shared" si="15"/>
        <v>822.29402381537159</v>
      </c>
      <c r="J241" s="65">
        <f>$C$12*Table32[[#This Row],[opening balance]]</f>
        <v>304.88531354388198</v>
      </c>
      <c r="K241" s="65">
        <f>Table32[[#This Row],[monthly installment]]-Table32[[#This Row],[interest]]</f>
        <v>517.40871027148955</v>
      </c>
      <c r="L241" s="52">
        <f>Table32[[#This Row],[opening balance]]-Table32[[#This Row],[principal paid]]</f>
        <v>40133.966428912776</v>
      </c>
    </row>
    <row r="242" spans="7:12">
      <c r="G242">
        <f t="shared" si="17"/>
        <v>240</v>
      </c>
      <c r="H242" s="52">
        <f t="shared" si="18"/>
        <v>40133.966428912776</v>
      </c>
      <c r="I242" s="1">
        <f t="shared" si="15"/>
        <v>822.29402381537159</v>
      </c>
      <c r="J242" s="65">
        <f>$C$12*Table32[[#This Row],[opening balance]]</f>
        <v>301.00474821684583</v>
      </c>
      <c r="K242" s="65">
        <f>Table32[[#This Row],[monthly installment]]-Table32[[#This Row],[interest]]</f>
        <v>521.28927559852582</v>
      </c>
      <c r="L242" s="52">
        <f>Table32[[#This Row],[opening balance]]-Table32[[#This Row],[principal paid]]</f>
        <v>39612.677153314253</v>
      </c>
    </row>
    <row r="243" spans="7:12">
      <c r="G243">
        <f t="shared" si="17"/>
        <v>241</v>
      </c>
      <c r="H243" s="52">
        <f t="shared" si="18"/>
        <v>39612.677153314253</v>
      </c>
      <c r="I243" s="1">
        <f t="shared" si="15"/>
        <v>822.29402381537159</v>
      </c>
      <c r="J243" s="65">
        <f>$C$12*Table32[[#This Row],[opening balance]]</f>
        <v>297.09507864985687</v>
      </c>
      <c r="K243" s="65">
        <f>Table32[[#This Row],[monthly installment]]-Table32[[#This Row],[interest]]</f>
        <v>525.19894516551471</v>
      </c>
      <c r="L243" s="52">
        <f>Table32[[#This Row],[opening balance]]-Table32[[#This Row],[principal paid]]</f>
        <v>39087.478208148736</v>
      </c>
    </row>
    <row r="244" spans="7:12">
      <c r="G244">
        <f t="shared" si="17"/>
        <v>242</v>
      </c>
      <c r="H244" s="52">
        <f t="shared" si="18"/>
        <v>39087.478208148736</v>
      </c>
      <c r="I244" s="1">
        <f t="shared" si="15"/>
        <v>822.29402381537159</v>
      </c>
      <c r="J244" s="65">
        <f>$C$12*Table32[[#This Row],[opening balance]]</f>
        <v>293.1560865611155</v>
      </c>
      <c r="K244" s="65">
        <f>Table32[[#This Row],[monthly installment]]-Table32[[#This Row],[interest]]</f>
        <v>529.13793725425603</v>
      </c>
      <c r="L244" s="52">
        <f>Table32[[#This Row],[opening balance]]-Table32[[#This Row],[principal paid]]</f>
        <v>38558.340270894478</v>
      </c>
    </row>
    <row r="245" spans="7:12">
      <c r="G245">
        <f t="shared" si="17"/>
        <v>243</v>
      </c>
      <c r="H245" s="52">
        <f t="shared" si="18"/>
        <v>38558.340270894478</v>
      </c>
      <c r="I245" s="1">
        <f t="shared" si="15"/>
        <v>822.29402381537159</v>
      </c>
      <c r="J245" s="65">
        <f>$C$12*Table32[[#This Row],[opening balance]]</f>
        <v>289.18755203170855</v>
      </c>
      <c r="K245" s="65">
        <f>Table32[[#This Row],[monthly installment]]-Table32[[#This Row],[interest]]</f>
        <v>533.10647178366298</v>
      </c>
      <c r="L245" s="52">
        <f>Table32[[#This Row],[opening balance]]-Table32[[#This Row],[principal paid]]</f>
        <v>38025.233799110814</v>
      </c>
    </row>
    <row r="246" spans="7:12">
      <c r="G246">
        <f t="shared" si="17"/>
        <v>244</v>
      </c>
      <c r="H246" s="52">
        <f t="shared" ref="H246:H254" si="19">L245</f>
        <v>38025.233799110814</v>
      </c>
      <c r="I246" s="1">
        <f t="shared" si="15"/>
        <v>822.29402381537159</v>
      </c>
      <c r="J246" s="65">
        <f>$C$12*Table32[[#This Row],[opening balance]]</f>
        <v>285.18925349333108</v>
      </c>
      <c r="K246" s="65">
        <f>Table32[[#This Row],[monthly installment]]-Table32[[#This Row],[interest]]</f>
        <v>537.10477032204051</v>
      </c>
      <c r="L246" s="52">
        <f>Table32[[#This Row],[opening balance]]-Table32[[#This Row],[principal paid]]</f>
        <v>37488.129028788775</v>
      </c>
    </row>
    <row r="247" spans="7:12">
      <c r="G247">
        <f t="shared" si="17"/>
        <v>245</v>
      </c>
      <c r="H247" s="52">
        <f t="shared" si="19"/>
        <v>37488.129028788775</v>
      </c>
      <c r="I247" s="1">
        <f t="shared" si="15"/>
        <v>822.29402381537159</v>
      </c>
      <c r="J247" s="65">
        <f>$C$12*Table32[[#This Row],[opening balance]]</f>
        <v>281.16096771591577</v>
      </c>
      <c r="K247" s="65">
        <f>Table32[[#This Row],[monthly installment]]-Table32[[#This Row],[interest]]</f>
        <v>541.13305609945587</v>
      </c>
      <c r="L247" s="52">
        <f>Table32[[#This Row],[opening balance]]-Table32[[#This Row],[principal paid]]</f>
        <v>36946.995972689321</v>
      </c>
    </row>
    <row r="248" spans="7:12">
      <c r="G248">
        <f t="shared" si="17"/>
        <v>246</v>
      </c>
      <c r="H248" s="52">
        <f t="shared" si="19"/>
        <v>36946.995972689321</v>
      </c>
      <c r="I248" s="1">
        <f t="shared" si="15"/>
        <v>822.29402381537159</v>
      </c>
      <c r="J248" s="65">
        <f>$C$12*Table32[[#This Row],[opening balance]]</f>
        <v>277.1024697951699</v>
      </c>
      <c r="K248" s="65">
        <f>Table32[[#This Row],[monthly installment]]-Table32[[#This Row],[interest]]</f>
        <v>545.19155402020169</v>
      </c>
      <c r="L248" s="52">
        <f>Table32[[#This Row],[opening balance]]-Table32[[#This Row],[principal paid]]</f>
        <v>36401.804418669119</v>
      </c>
    </row>
    <row r="249" spans="7:12">
      <c r="G249">
        <f t="shared" si="17"/>
        <v>247</v>
      </c>
      <c r="H249" s="52">
        <f t="shared" si="19"/>
        <v>36401.804418669119</v>
      </c>
      <c r="I249" s="1">
        <f t="shared" si="15"/>
        <v>822.29402381537159</v>
      </c>
      <c r="J249" s="65">
        <f>$C$12*Table32[[#This Row],[opening balance]]</f>
        <v>273.01353314001835</v>
      </c>
      <c r="K249" s="65">
        <f>Table32[[#This Row],[monthly installment]]-Table32[[#This Row],[interest]]</f>
        <v>549.28049067535324</v>
      </c>
      <c r="L249" s="52">
        <f>Table32[[#This Row],[opening balance]]-Table32[[#This Row],[principal paid]]</f>
        <v>35852.523927993767</v>
      </c>
    </row>
    <row r="250" spans="7:12">
      <c r="G250">
        <f t="shared" si="17"/>
        <v>248</v>
      </c>
      <c r="H250" s="52">
        <f t="shared" si="19"/>
        <v>35852.523927993767</v>
      </c>
      <c r="I250" s="1">
        <f t="shared" si="15"/>
        <v>822.29402381537159</v>
      </c>
      <c r="J250" s="65">
        <f>$C$12*Table32[[#This Row],[opening balance]]</f>
        <v>268.89392945995326</v>
      </c>
      <c r="K250" s="65">
        <f>Table32[[#This Row],[monthly installment]]-Table32[[#This Row],[interest]]</f>
        <v>553.40009435541833</v>
      </c>
      <c r="L250" s="52">
        <f>Table32[[#This Row],[opening balance]]-Table32[[#This Row],[principal paid]]</f>
        <v>35299.123833638347</v>
      </c>
    </row>
    <row r="251" spans="7:12">
      <c r="G251">
        <f t="shared" si="17"/>
        <v>249</v>
      </c>
      <c r="H251" s="52">
        <f t="shared" si="19"/>
        <v>35299.123833638347</v>
      </c>
      <c r="I251" s="1">
        <f t="shared" si="15"/>
        <v>822.29402381537159</v>
      </c>
      <c r="J251" s="65">
        <f>$C$12*Table32[[#This Row],[opening balance]]</f>
        <v>264.74342875228757</v>
      </c>
      <c r="K251" s="65">
        <f>Table32[[#This Row],[monthly installment]]-Table32[[#This Row],[interest]]</f>
        <v>557.55059506308407</v>
      </c>
      <c r="L251" s="52">
        <f>Table32[[#This Row],[opening balance]]-Table32[[#This Row],[principal paid]]</f>
        <v>34741.573238575264</v>
      </c>
    </row>
    <row r="252" spans="7:12">
      <c r="G252">
        <f t="shared" si="17"/>
        <v>250</v>
      </c>
      <c r="H252" s="52">
        <f t="shared" si="19"/>
        <v>34741.573238575264</v>
      </c>
      <c r="I252" s="1">
        <f t="shared" si="15"/>
        <v>822.29402381537159</v>
      </c>
      <c r="J252" s="65">
        <f>$C$12*Table32[[#This Row],[opening balance]]</f>
        <v>260.56179928931448</v>
      </c>
      <c r="K252" s="65">
        <f>Table32[[#This Row],[monthly installment]]-Table32[[#This Row],[interest]]</f>
        <v>561.73222452605705</v>
      </c>
      <c r="L252" s="52">
        <f>Table32[[#This Row],[opening balance]]-Table32[[#This Row],[principal paid]]</f>
        <v>34179.841014049205</v>
      </c>
    </row>
    <row r="253" spans="7:12">
      <c r="G253">
        <f t="shared" si="17"/>
        <v>251</v>
      </c>
      <c r="H253" s="52">
        <f t="shared" si="19"/>
        <v>34179.841014049205</v>
      </c>
      <c r="I253" s="1">
        <f t="shared" si="15"/>
        <v>822.29402381537159</v>
      </c>
      <c r="J253" s="65">
        <f>$C$12*Table32[[#This Row],[opening balance]]</f>
        <v>256.34880760536902</v>
      </c>
      <c r="K253" s="65">
        <f>Table32[[#This Row],[monthly installment]]-Table32[[#This Row],[interest]]</f>
        <v>565.94521621000263</v>
      </c>
      <c r="L253" s="52">
        <f>Table32[[#This Row],[opening balance]]-Table32[[#This Row],[principal paid]]</f>
        <v>33613.895797839199</v>
      </c>
    </row>
    <row r="254" spans="7:12">
      <c r="G254">
        <f t="shared" si="17"/>
        <v>252</v>
      </c>
      <c r="H254" s="52">
        <f t="shared" si="19"/>
        <v>33613.895797839199</v>
      </c>
      <c r="I254" s="1">
        <f t="shared" si="15"/>
        <v>822.29402381537159</v>
      </c>
      <c r="J254" s="65">
        <f>$C$12*Table32[[#This Row],[opening balance]]</f>
        <v>252.10421848379397</v>
      </c>
      <c r="K254" s="65">
        <f>Table32[[#This Row],[monthly installment]]-Table32[[#This Row],[interest]]</f>
        <v>570.18980533157765</v>
      </c>
      <c r="L254" s="52">
        <f>Table32[[#This Row],[opening balance]]-Table32[[#This Row],[principal paid]]</f>
        <v>33043.705992507625</v>
      </c>
    </row>
    <row r="255" spans="7:12">
      <c r="G255">
        <f t="shared" si="17"/>
        <v>253</v>
      </c>
      <c r="H255" s="52">
        <f t="shared" ref="H255:H260" si="20">L254</f>
        <v>33043.705992507625</v>
      </c>
      <c r="I255" s="1">
        <f t="shared" si="15"/>
        <v>822.29402381537159</v>
      </c>
      <c r="J255" s="65">
        <f>$C$12*Table32[[#This Row],[opening balance]]</f>
        <v>247.82779494380716</v>
      </c>
      <c r="K255" s="65">
        <f>Table32[[#This Row],[monthly installment]]-Table32[[#This Row],[interest]]</f>
        <v>574.46622887156445</v>
      </c>
      <c r="L255" s="52">
        <f>Table32[[#This Row],[opening balance]]-Table32[[#This Row],[principal paid]]</f>
        <v>32469.239763636062</v>
      </c>
    </row>
    <row r="256" spans="7:12">
      <c r="G256">
        <f t="shared" si="17"/>
        <v>254</v>
      </c>
      <c r="H256" s="52">
        <f t="shared" si="20"/>
        <v>32469.239763636062</v>
      </c>
      <c r="I256" s="1">
        <f t="shared" ref="I256:I302" si="21">$C$14</f>
        <v>822.29402381537159</v>
      </c>
      <c r="J256" s="65">
        <f>$C$12*Table32[[#This Row],[opening balance]]</f>
        <v>243.51929822727047</v>
      </c>
      <c r="K256" s="65">
        <f>Table32[[#This Row],[monthly installment]]-Table32[[#This Row],[interest]]</f>
        <v>578.77472558810109</v>
      </c>
      <c r="L256" s="52">
        <f>Table32[[#This Row],[opening balance]]-Table32[[#This Row],[principal paid]]</f>
        <v>31890.465038047962</v>
      </c>
    </row>
    <row r="257" spans="7:12">
      <c r="G257">
        <f t="shared" si="17"/>
        <v>255</v>
      </c>
      <c r="H257" s="52">
        <f t="shared" si="20"/>
        <v>31890.465038047962</v>
      </c>
      <c r="I257" s="1">
        <f t="shared" si="21"/>
        <v>822.29402381537159</v>
      </c>
      <c r="J257" s="65">
        <f>$C$12*Table32[[#This Row],[opening balance]]</f>
        <v>239.17848778535969</v>
      </c>
      <c r="K257" s="65">
        <f>Table32[[#This Row],[monthly installment]]-Table32[[#This Row],[interest]]</f>
        <v>583.11553603001187</v>
      </c>
      <c r="L257" s="52">
        <f>Table32[[#This Row],[opening balance]]-Table32[[#This Row],[principal paid]]</f>
        <v>31307.349502017951</v>
      </c>
    </row>
    <row r="258" spans="7:12">
      <c r="G258">
        <f t="shared" si="17"/>
        <v>256</v>
      </c>
      <c r="H258" s="52">
        <f t="shared" si="20"/>
        <v>31307.349502017951</v>
      </c>
      <c r="I258" s="1">
        <f t="shared" si="21"/>
        <v>822.29402381537159</v>
      </c>
      <c r="J258" s="65">
        <f>$C$12*Table32[[#This Row],[opening balance]]</f>
        <v>234.80512126513463</v>
      </c>
      <c r="K258" s="65">
        <f>Table32[[#This Row],[monthly installment]]-Table32[[#This Row],[interest]]</f>
        <v>587.48890255023696</v>
      </c>
      <c r="L258" s="52">
        <f>Table32[[#This Row],[opening balance]]-Table32[[#This Row],[principal paid]]</f>
        <v>30719.860599467713</v>
      </c>
    </row>
    <row r="259" spans="7:12">
      <c r="G259">
        <f t="shared" si="17"/>
        <v>257</v>
      </c>
      <c r="H259" s="52">
        <f t="shared" si="20"/>
        <v>30719.860599467713</v>
      </c>
      <c r="I259" s="1">
        <f t="shared" si="21"/>
        <v>822.29402381537159</v>
      </c>
      <c r="J259" s="65">
        <f>$C$12*Table32[[#This Row],[opening balance]]</f>
        <v>230.39895449600783</v>
      </c>
      <c r="K259" s="65">
        <f>Table32[[#This Row],[monthly installment]]-Table32[[#This Row],[interest]]</f>
        <v>591.89506931936376</v>
      </c>
      <c r="L259" s="52">
        <f>Table32[[#This Row],[opening balance]]-Table32[[#This Row],[principal paid]]</f>
        <v>30127.965530148351</v>
      </c>
    </row>
    <row r="260" spans="7:12">
      <c r="G260">
        <f t="shared" si="17"/>
        <v>258</v>
      </c>
      <c r="H260" s="52">
        <f t="shared" si="20"/>
        <v>30127.965530148351</v>
      </c>
      <c r="I260" s="1">
        <f t="shared" si="21"/>
        <v>822.29402381537159</v>
      </c>
      <c r="J260" s="65">
        <f>$C$12*Table32[[#This Row],[opening balance]]</f>
        <v>225.95974147611261</v>
      </c>
      <c r="K260" s="65">
        <f>Table32[[#This Row],[monthly installment]]-Table32[[#This Row],[interest]]</f>
        <v>596.33428233925895</v>
      </c>
      <c r="L260" s="52">
        <f>Table32[[#This Row],[opening balance]]-Table32[[#This Row],[principal paid]]</f>
        <v>29531.631247809091</v>
      </c>
    </row>
    <row r="261" spans="7:12">
      <c r="G261">
        <f t="shared" si="17"/>
        <v>259</v>
      </c>
      <c r="H261" s="52">
        <f t="shared" ref="H261:H275" si="22">L260</f>
        <v>29531.631247809091</v>
      </c>
      <c r="I261" s="1">
        <f t="shared" si="21"/>
        <v>822.29402381537159</v>
      </c>
      <c r="J261" s="65">
        <f>$C$12*Table32[[#This Row],[opening balance]]</f>
        <v>221.48723435856817</v>
      </c>
      <c r="K261" s="65">
        <f>Table32[[#This Row],[monthly installment]]-Table32[[#This Row],[interest]]</f>
        <v>600.80678945680347</v>
      </c>
      <c r="L261" s="52">
        <f>Table32[[#This Row],[opening balance]]-Table32[[#This Row],[principal paid]]</f>
        <v>28930.824458352286</v>
      </c>
    </row>
    <row r="262" spans="7:12">
      <c r="G262">
        <f t="shared" si="17"/>
        <v>260</v>
      </c>
      <c r="H262" s="52">
        <f t="shared" si="22"/>
        <v>28930.824458352286</v>
      </c>
      <c r="I262" s="1">
        <f t="shared" si="21"/>
        <v>822.29402381537159</v>
      </c>
      <c r="J262" s="65">
        <f>$C$12*Table32[[#This Row],[opening balance]]</f>
        <v>216.98118343764213</v>
      </c>
      <c r="K262" s="65">
        <f>Table32[[#This Row],[monthly installment]]-Table32[[#This Row],[interest]]</f>
        <v>605.31284037772946</v>
      </c>
      <c r="L262" s="52">
        <f>Table32[[#This Row],[opening balance]]-Table32[[#This Row],[principal paid]]</f>
        <v>28325.511617974556</v>
      </c>
    </row>
    <row r="263" spans="7:12">
      <c r="G263">
        <f t="shared" si="17"/>
        <v>261</v>
      </c>
      <c r="H263" s="52">
        <f t="shared" si="22"/>
        <v>28325.511617974556</v>
      </c>
      <c r="I263" s="1">
        <f t="shared" si="21"/>
        <v>822.29402381537159</v>
      </c>
      <c r="J263" s="65">
        <f>$C$12*Table32[[#This Row],[opening balance]]</f>
        <v>212.44133713480917</v>
      </c>
      <c r="K263" s="65">
        <f>Table32[[#This Row],[monthly installment]]-Table32[[#This Row],[interest]]</f>
        <v>609.85268668056244</v>
      </c>
      <c r="L263" s="52">
        <f>Table32[[#This Row],[opening balance]]-Table32[[#This Row],[principal paid]]</f>
        <v>27715.658931293994</v>
      </c>
    </row>
    <row r="264" spans="7:12">
      <c r="G264">
        <f t="shared" si="17"/>
        <v>262</v>
      </c>
      <c r="H264" s="52">
        <f t="shared" si="22"/>
        <v>27715.658931293994</v>
      </c>
      <c r="I264" s="1">
        <f t="shared" si="21"/>
        <v>822.29402381537159</v>
      </c>
      <c r="J264" s="65">
        <f>$C$12*Table32[[#This Row],[opening balance]]</f>
        <v>207.86744198470495</v>
      </c>
      <c r="K264" s="65">
        <f>Table32[[#This Row],[monthly installment]]-Table32[[#This Row],[interest]]</f>
        <v>614.42658183066669</v>
      </c>
      <c r="L264" s="52">
        <f>Table32[[#This Row],[opening balance]]-Table32[[#This Row],[principal paid]]</f>
        <v>27101.232349463327</v>
      </c>
    </row>
    <row r="265" spans="7:12">
      <c r="G265">
        <f t="shared" si="17"/>
        <v>263</v>
      </c>
      <c r="H265" s="52">
        <f t="shared" si="22"/>
        <v>27101.232349463327</v>
      </c>
      <c r="I265" s="1">
        <f t="shared" si="21"/>
        <v>822.29402381537159</v>
      </c>
      <c r="J265" s="65">
        <f>$C$12*Table32[[#This Row],[opening balance]]</f>
        <v>203.25924262097496</v>
      </c>
      <c r="K265" s="65">
        <f>Table32[[#This Row],[monthly installment]]-Table32[[#This Row],[interest]]</f>
        <v>619.0347811943966</v>
      </c>
      <c r="L265" s="52">
        <f>Table32[[#This Row],[opening balance]]-Table32[[#This Row],[principal paid]]</f>
        <v>26482.19756826893</v>
      </c>
    </row>
    <row r="266" spans="7:12">
      <c r="G266">
        <f t="shared" si="17"/>
        <v>264</v>
      </c>
      <c r="H266" s="52">
        <f t="shared" si="22"/>
        <v>26482.19756826893</v>
      </c>
      <c r="I266" s="1">
        <f t="shared" si="21"/>
        <v>822.29402381537159</v>
      </c>
      <c r="J266" s="65">
        <f>$C$12*Table32[[#This Row],[opening balance]]</f>
        <v>198.61648176201697</v>
      </c>
      <c r="K266" s="65">
        <f>Table32[[#This Row],[monthly installment]]-Table32[[#This Row],[interest]]</f>
        <v>623.67754205335461</v>
      </c>
      <c r="L266" s="52">
        <f>Table32[[#This Row],[opening balance]]-Table32[[#This Row],[principal paid]]</f>
        <v>25858.520026215574</v>
      </c>
    </row>
    <row r="267" spans="7:12">
      <c r="G267">
        <f t="shared" si="17"/>
        <v>265</v>
      </c>
      <c r="H267" s="52">
        <f t="shared" si="22"/>
        <v>25858.520026215574</v>
      </c>
      <c r="I267" s="1">
        <f t="shared" si="21"/>
        <v>822.29402381537159</v>
      </c>
      <c r="J267" s="65">
        <f>$C$12*Table32[[#This Row],[opening balance]]</f>
        <v>193.9389001966168</v>
      </c>
      <c r="K267" s="65">
        <f>Table32[[#This Row],[monthly installment]]-Table32[[#This Row],[interest]]</f>
        <v>628.35512361875476</v>
      </c>
      <c r="L267" s="52">
        <f>Table32[[#This Row],[opening balance]]-Table32[[#This Row],[principal paid]]</f>
        <v>25230.164902596818</v>
      </c>
    </row>
    <row r="268" spans="7:12">
      <c r="G268">
        <f t="shared" si="17"/>
        <v>266</v>
      </c>
      <c r="H268" s="52">
        <f t="shared" si="22"/>
        <v>25230.164902596818</v>
      </c>
      <c r="I268" s="1">
        <f t="shared" si="21"/>
        <v>822.29402381537159</v>
      </c>
      <c r="J268" s="65">
        <f>$C$12*Table32[[#This Row],[opening balance]]</f>
        <v>189.22623676947612</v>
      </c>
      <c r="K268" s="65">
        <f>Table32[[#This Row],[monthly installment]]-Table32[[#This Row],[interest]]</f>
        <v>633.06778704589544</v>
      </c>
      <c r="L268" s="52">
        <f>Table32[[#This Row],[opening balance]]-Table32[[#This Row],[principal paid]]</f>
        <v>24597.097115550921</v>
      </c>
    </row>
    <row r="269" spans="7:12">
      <c r="G269">
        <f t="shared" si="17"/>
        <v>267</v>
      </c>
      <c r="H269" s="52">
        <f t="shared" si="22"/>
        <v>24597.097115550921</v>
      </c>
      <c r="I269" s="1">
        <f t="shared" si="21"/>
        <v>822.29402381537159</v>
      </c>
      <c r="J269" s="65">
        <f>$C$12*Table32[[#This Row],[opening balance]]</f>
        <v>184.4782283666319</v>
      </c>
      <c r="K269" s="65">
        <f>Table32[[#This Row],[monthly installment]]-Table32[[#This Row],[interest]]</f>
        <v>637.81579544873966</v>
      </c>
      <c r="L269" s="52">
        <f>Table32[[#This Row],[opening balance]]-Table32[[#This Row],[principal paid]]</f>
        <v>23959.281320102182</v>
      </c>
    </row>
    <row r="270" spans="7:12">
      <c r="G270">
        <f t="shared" si="17"/>
        <v>268</v>
      </c>
      <c r="H270" s="52">
        <f t="shared" si="22"/>
        <v>23959.281320102182</v>
      </c>
      <c r="I270" s="1">
        <f t="shared" si="21"/>
        <v>822.29402381537159</v>
      </c>
      <c r="J270" s="65">
        <f>$C$12*Table32[[#This Row],[opening balance]]</f>
        <v>179.69460990076635</v>
      </c>
      <c r="K270" s="65">
        <f>Table32[[#This Row],[monthly installment]]-Table32[[#This Row],[interest]]</f>
        <v>642.59941391460529</v>
      </c>
      <c r="L270" s="52">
        <f>Table32[[#This Row],[opening balance]]-Table32[[#This Row],[principal paid]]</f>
        <v>23316.681906187576</v>
      </c>
    </row>
    <row r="271" spans="7:12">
      <c r="G271">
        <f t="shared" si="17"/>
        <v>269</v>
      </c>
      <c r="H271" s="52">
        <f t="shared" si="22"/>
        <v>23316.681906187576</v>
      </c>
      <c r="I271" s="1">
        <f t="shared" si="21"/>
        <v>822.29402381537159</v>
      </c>
      <c r="J271" s="65">
        <f>$C$12*Table32[[#This Row],[opening balance]]</f>
        <v>174.87511429640682</v>
      </c>
      <c r="K271" s="65">
        <f>Table32[[#This Row],[monthly installment]]-Table32[[#This Row],[interest]]</f>
        <v>647.41890951896471</v>
      </c>
      <c r="L271" s="52">
        <f>Table32[[#This Row],[opening balance]]-Table32[[#This Row],[principal paid]]</f>
        <v>22669.262996668611</v>
      </c>
    </row>
    <row r="272" spans="7:12">
      <c r="G272">
        <f t="shared" si="17"/>
        <v>270</v>
      </c>
      <c r="H272" s="52">
        <f t="shared" si="22"/>
        <v>22669.262996668611</v>
      </c>
      <c r="I272" s="1">
        <f t="shared" si="21"/>
        <v>822.29402381537159</v>
      </c>
      <c r="J272" s="65">
        <f>$C$12*Table32[[#This Row],[opening balance]]</f>
        <v>170.01947247501457</v>
      </c>
      <c r="K272" s="65">
        <f>Table32[[#This Row],[monthly installment]]-Table32[[#This Row],[interest]]</f>
        <v>652.27455134035699</v>
      </c>
      <c r="L272" s="52">
        <f>Table32[[#This Row],[opening balance]]-Table32[[#This Row],[principal paid]]</f>
        <v>22016.988445328254</v>
      </c>
    </row>
    <row r="273" spans="7:12">
      <c r="G273">
        <f t="shared" si="17"/>
        <v>271</v>
      </c>
      <c r="H273" s="52">
        <f t="shared" si="22"/>
        <v>22016.988445328254</v>
      </c>
      <c r="I273" s="1">
        <f t="shared" si="21"/>
        <v>822.29402381537159</v>
      </c>
      <c r="J273" s="65">
        <f>$C$12*Table32[[#This Row],[opening balance]]</f>
        <v>165.12741333996189</v>
      </c>
      <c r="K273" s="65">
        <f>Table32[[#This Row],[monthly installment]]-Table32[[#This Row],[interest]]</f>
        <v>657.1666104754097</v>
      </c>
      <c r="L273" s="52">
        <f>Table32[[#This Row],[opening balance]]-Table32[[#This Row],[principal paid]]</f>
        <v>21359.821834852843</v>
      </c>
    </row>
    <row r="274" spans="7:12">
      <c r="G274">
        <f t="shared" si="17"/>
        <v>272</v>
      </c>
      <c r="H274" s="52">
        <f t="shared" si="22"/>
        <v>21359.821834852843</v>
      </c>
      <c r="I274" s="1">
        <f t="shared" si="21"/>
        <v>822.29402381537159</v>
      </c>
      <c r="J274" s="65">
        <f>$C$12*Table32[[#This Row],[opening balance]]</f>
        <v>160.19866376139632</v>
      </c>
      <c r="K274" s="65">
        <f>Table32[[#This Row],[monthly installment]]-Table32[[#This Row],[interest]]</f>
        <v>662.09536005397524</v>
      </c>
      <c r="L274" s="52">
        <f>Table32[[#This Row],[opening balance]]-Table32[[#This Row],[principal paid]]</f>
        <v>20697.726474798867</v>
      </c>
    </row>
    <row r="275" spans="7:12">
      <c r="G275">
        <f t="shared" si="17"/>
        <v>273</v>
      </c>
      <c r="H275" s="52">
        <f t="shared" si="22"/>
        <v>20697.726474798867</v>
      </c>
      <c r="I275" s="1">
        <f t="shared" si="21"/>
        <v>822.29402381537159</v>
      </c>
      <c r="J275" s="65">
        <f>$C$12*Table32[[#This Row],[opening balance]]</f>
        <v>155.2329485609915</v>
      </c>
      <c r="K275" s="65">
        <f>Table32[[#This Row],[monthly installment]]-Table32[[#This Row],[interest]]</f>
        <v>667.06107525438006</v>
      </c>
      <c r="L275" s="52">
        <f>Table32[[#This Row],[opening balance]]-Table32[[#This Row],[principal paid]]</f>
        <v>20030.665399544487</v>
      </c>
    </row>
    <row r="276" spans="7:12">
      <c r="G276">
        <f t="shared" si="17"/>
        <v>274</v>
      </c>
      <c r="H276" s="52">
        <f t="shared" ref="H276:H288" si="23">L275</f>
        <v>20030.665399544487</v>
      </c>
      <c r="I276" s="1">
        <f t="shared" si="21"/>
        <v>822.29402381537159</v>
      </c>
      <c r="J276" s="65">
        <f>$C$12*Table32[[#This Row],[opening balance]]</f>
        <v>150.22999049658364</v>
      </c>
      <c r="K276" s="65">
        <f>Table32[[#This Row],[monthly installment]]-Table32[[#This Row],[interest]]</f>
        <v>672.06403331878801</v>
      </c>
      <c r="L276" s="52">
        <f>Table32[[#This Row],[opening balance]]-Table32[[#This Row],[principal paid]]</f>
        <v>19358.601366225699</v>
      </c>
    </row>
    <row r="277" spans="7:12">
      <c r="G277">
        <f t="shared" si="17"/>
        <v>275</v>
      </c>
      <c r="H277" s="52">
        <f t="shared" si="23"/>
        <v>19358.601366225699</v>
      </c>
      <c r="I277" s="1">
        <f t="shared" si="21"/>
        <v>822.29402381537159</v>
      </c>
      <c r="J277" s="65">
        <f>$C$12*Table32[[#This Row],[opening balance]]</f>
        <v>145.18951024669275</v>
      </c>
      <c r="K277" s="65">
        <f>Table32[[#This Row],[monthly installment]]-Table32[[#This Row],[interest]]</f>
        <v>677.10451356867884</v>
      </c>
      <c r="L277" s="52">
        <f>Table32[[#This Row],[opening balance]]-Table32[[#This Row],[principal paid]]</f>
        <v>18681.496852657019</v>
      </c>
    </row>
    <row r="278" spans="7:12">
      <c r="G278">
        <f t="shared" ref="G278:G302" si="24">1+G277</f>
        <v>276</v>
      </c>
      <c r="H278" s="52">
        <f t="shared" si="23"/>
        <v>18681.496852657019</v>
      </c>
      <c r="I278" s="1">
        <f t="shared" si="21"/>
        <v>822.29402381537159</v>
      </c>
      <c r="J278" s="65">
        <f>$C$12*Table32[[#This Row],[opening balance]]</f>
        <v>140.11122639492763</v>
      </c>
      <c r="K278" s="65">
        <f>Table32[[#This Row],[monthly installment]]-Table32[[#This Row],[interest]]</f>
        <v>682.18279742044399</v>
      </c>
      <c r="L278" s="52">
        <f>Table32[[#This Row],[opening balance]]-Table32[[#This Row],[principal paid]]</f>
        <v>17999.314055236577</v>
      </c>
    </row>
    <row r="279" spans="7:12">
      <c r="G279">
        <f t="shared" si="24"/>
        <v>277</v>
      </c>
      <c r="H279" s="52">
        <f t="shared" si="23"/>
        <v>17999.314055236577</v>
      </c>
      <c r="I279" s="1">
        <f t="shared" si="21"/>
        <v>822.29402381537159</v>
      </c>
      <c r="J279" s="65">
        <f>$C$12*Table32[[#This Row],[opening balance]]</f>
        <v>134.99485541427433</v>
      </c>
      <c r="K279" s="65">
        <f>Table32[[#This Row],[monthly installment]]-Table32[[#This Row],[interest]]</f>
        <v>687.29916840109729</v>
      </c>
      <c r="L279" s="52">
        <f>Table32[[#This Row],[opening balance]]-Table32[[#This Row],[principal paid]]</f>
        <v>17312.014886835481</v>
      </c>
    </row>
    <row r="280" spans="7:12">
      <c r="G280">
        <f t="shared" si="24"/>
        <v>278</v>
      </c>
      <c r="H280" s="52">
        <f t="shared" si="23"/>
        <v>17312.014886835481</v>
      </c>
      <c r="I280" s="1">
        <f t="shared" si="21"/>
        <v>822.29402381537159</v>
      </c>
      <c r="J280" s="65">
        <f>$C$12*Table32[[#This Row],[opening balance]]</f>
        <v>129.84011165126611</v>
      </c>
      <c r="K280" s="65">
        <f>Table32[[#This Row],[monthly installment]]-Table32[[#This Row],[interest]]</f>
        <v>692.45391216410553</v>
      </c>
      <c r="L280" s="52">
        <f>Table32[[#This Row],[opening balance]]-Table32[[#This Row],[principal paid]]</f>
        <v>16619.560974671374</v>
      </c>
    </row>
    <row r="281" spans="7:12">
      <c r="G281">
        <f t="shared" si="24"/>
        <v>279</v>
      </c>
      <c r="H281" s="52">
        <f t="shared" si="23"/>
        <v>16619.560974671374</v>
      </c>
      <c r="I281" s="1">
        <f t="shared" si="21"/>
        <v>822.29402381537159</v>
      </c>
      <c r="J281" s="65">
        <f>$C$12*Table32[[#This Row],[opening balance]]</f>
        <v>124.64670731003531</v>
      </c>
      <c r="K281" s="65">
        <f>Table32[[#This Row],[monthly installment]]-Table32[[#This Row],[interest]]</f>
        <v>697.64731650533622</v>
      </c>
      <c r="L281" s="52">
        <f>Table32[[#This Row],[opening balance]]-Table32[[#This Row],[principal paid]]</f>
        <v>15921.913658166039</v>
      </c>
    </row>
    <row r="282" spans="7:12">
      <c r="G282">
        <f t="shared" si="24"/>
        <v>280</v>
      </c>
      <c r="H282" s="52">
        <f t="shared" si="23"/>
        <v>15921.913658166039</v>
      </c>
      <c r="I282" s="1">
        <f t="shared" si="21"/>
        <v>822.29402381537159</v>
      </c>
      <c r="J282" s="65">
        <f>$C$12*Table32[[#This Row],[opening balance]]</f>
        <v>119.41435243624528</v>
      </c>
      <c r="K282" s="65">
        <f>Table32[[#This Row],[monthly installment]]-Table32[[#This Row],[interest]]</f>
        <v>702.87967137912631</v>
      </c>
      <c r="L282" s="52">
        <f>Table32[[#This Row],[opening balance]]-Table32[[#This Row],[principal paid]]</f>
        <v>15219.033986786912</v>
      </c>
    </row>
    <row r="283" spans="7:12">
      <c r="G283">
        <f t="shared" si="24"/>
        <v>281</v>
      </c>
      <c r="H283" s="52">
        <f t="shared" si="23"/>
        <v>15219.033986786912</v>
      </c>
      <c r="I283" s="1">
        <f t="shared" si="21"/>
        <v>822.29402381537159</v>
      </c>
      <c r="J283" s="65">
        <f>$C$12*Table32[[#This Row],[opening balance]]</f>
        <v>114.14275490090183</v>
      </c>
      <c r="K283" s="65">
        <f>Table32[[#This Row],[monthly installment]]-Table32[[#This Row],[interest]]</f>
        <v>708.15126891446971</v>
      </c>
      <c r="L283" s="52">
        <f>Table32[[#This Row],[opening balance]]-Table32[[#This Row],[principal paid]]</f>
        <v>14510.882717872442</v>
      </c>
    </row>
    <row r="284" spans="7:12">
      <c r="G284">
        <f t="shared" si="24"/>
        <v>282</v>
      </c>
      <c r="H284" s="52">
        <f t="shared" si="23"/>
        <v>14510.882717872442</v>
      </c>
      <c r="I284" s="1">
        <f t="shared" si="21"/>
        <v>822.29402381537159</v>
      </c>
      <c r="J284" s="65">
        <f>$C$12*Table32[[#This Row],[opening balance]]</f>
        <v>108.83162038404332</v>
      </c>
      <c r="K284" s="65">
        <f>Table32[[#This Row],[monthly installment]]-Table32[[#This Row],[interest]]</f>
        <v>713.46240343132831</v>
      </c>
      <c r="L284" s="52">
        <f>Table32[[#This Row],[opening balance]]-Table32[[#This Row],[principal paid]]</f>
        <v>13797.420314441115</v>
      </c>
    </row>
    <row r="285" spans="7:12">
      <c r="G285">
        <f t="shared" si="24"/>
        <v>283</v>
      </c>
      <c r="H285" s="52">
        <f t="shared" si="23"/>
        <v>13797.420314441115</v>
      </c>
      <c r="I285" s="1">
        <f t="shared" si="21"/>
        <v>822.29402381537159</v>
      </c>
      <c r="J285" s="65">
        <f>$C$12*Table32[[#This Row],[opening balance]]</f>
        <v>103.48065235830836</v>
      </c>
      <c r="K285" s="65">
        <f>Table32[[#This Row],[monthly installment]]-Table32[[#This Row],[interest]]</f>
        <v>718.81337145706323</v>
      </c>
      <c r="L285" s="52">
        <f>Table32[[#This Row],[opening balance]]-Table32[[#This Row],[principal paid]]</f>
        <v>13078.606942984052</v>
      </c>
    </row>
    <row r="286" spans="7:12">
      <c r="G286">
        <f t="shared" si="24"/>
        <v>284</v>
      </c>
      <c r="H286" s="52">
        <f t="shared" si="23"/>
        <v>13078.606942984052</v>
      </c>
      <c r="I286" s="1">
        <f t="shared" si="21"/>
        <v>822.29402381537159</v>
      </c>
      <c r="J286" s="65">
        <f>$C$12*Table32[[#This Row],[opening balance]]</f>
        <v>98.089552072380386</v>
      </c>
      <c r="K286" s="65">
        <f>Table32[[#This Row],[monthly installment]]-Table32[[#This Row],[interest]]</f>
        <v>724.20447174299125</v>
      </c>
      <c r="L286" s="52">
        <f>Table32[[#This Row],[opening balance]]-Table32[[#This Row],[principal paid]]</f>
        <v>12354.402471241061</v>
      </c>
    </row>
    <row r="287" spans="7:12">
      <c r="G287">
        <f t="shared" si="24"/>
        <v>285</v>
      </c>
      <c r="H287" s="52">
        <f t="shared" si="23"/>
        <v>12354.402471241061</v>
      </c>
      <c r="I287" s="1">
        <f t="shared" si="21"/>
        <v>822.29402381537159</v>
      </c>
      <c r="J287" s="65">
        <f>$C$12*Table32[[#This Row],[opening balance]]</f>
        <v>92.658018534307956</v>
      </c>
      <c r="K287" s="65">
        <f>Table32[[#This Row],[monthly installment]]-Table32[[#This Row],[interest]]</f>
        <v>729.6360052810636</v>
      </c>
      <c r="L287" s="52">
        <f>Table32[[#This Row],[opening balance]]-Table32[[#This Row],[principal paid]]</f>
        <v>11624.766465959998</v>
      </c>
    </row>
    <row r="288" spans="7:12">
      <c r="G288">
        <f t="shared" si="24"/>
        <v>286</v>
      </c>
      <c r="H288" s="52">
        <f t="shared" si="23"/>
        <v>11624.766465959998</v>
      </c>
      <c r="I288" s="1">
        <f t="shared" si="21"/>
        <v>822.29402381537159</v>
      </c>
      <c r="J288" s="65">
        <f>$C$12*Table32[[#This Row],[opening balance]]</f>
        <v>87.185748494699979</v>
      </c>
      <c r="K288" s="65">
        <f>Table32[[#This Row],[monthly installment]]-Table32[[#This Row],[interest]]</f>
        <v>735.10827532067162</v>
      </c>
      <c r="L288" s="52">
        <f>Table32[[#This Row],[opening balance]]-Table32[[#This Row],[principal paid]]</f>
        <v>10889.658190639326</v>
      </c>
    </row>
    <row r="289" spans="7:12">
      <c r="G289">
        <f t="shared" si="24"/>
        <v>287</v>
      </c>
      <c r="H289" s="52">
        <f t="shared" ref="H289:H296" si="25">L288</f>
        <v>10889.658190639326</v>
      </c>
      <c r="I289" s="1">
        <f t="shared" si="21"/>
        <v>822.29402381537159</v>
      </c>
      <c r="J289" s="65">
        <f>$C$12*Table32[[#This Row],[opening balance]]</f>
        <v>81.672436429794942</v>
      </c>
      <c r="K289" s="65">
        <f>Table32[[#This Row],[monthly installment]]-Table32[[#This Row],[interest]]</f>
        <v>740.62158738557662</v>
      </c>
      <c r="L289" s="52">
        <f>Table32[[#This Row],[opening balance]]-Table32[[#This Row],[principal paid]]</f>
        <v>10149.036603253749</v>
      </c>
    </row>
    <row r="290" spans="7:12">
      <c r="G290">
        <f t="shared" si="24"/>
        <v>288</v>
      </c>
      <c r="H290" s="52">
        <f t="shared" si="25"/>
        <v>10149.036603253749</v>
      </c>
      <c r="I290" s="1">
        <f t="shared" si="21"/>
        <v>822.29402381537159</v>
      </c>
      <c r="J290" s="65">
        <f>$C$12*Table32[[#This Row],[opening balance]]</f>
        <v>76.117774524403117</v>
      </c>
      <c r="K290" s="65">
        <f>Table32[[#This Row],[monthly installment]]-Table32[[#This Row],[interest]]</f>
        <v>746.17624929096849</v>
      </c>
      <c r="L290" s="52">
        <f>Table32[[#This Row],[opening balance]]-Table32[[#This Row],[principal paid]]</f>
        <v>9402.8603539627802</v>
      </c>
    </row>
    <row r="291" spans="7:12">
      <c r="G291">
        <f t="shared" si="24"/>
        <v>289</v>
      </c>
      <c r="H291" s="52">
        <f t="shared" si="25"/>
        <v>9402.8603539627802</v>
      </c>
      <c r="I291" s="1">
        <f t="shared" si="21"/>
        <v>822.29402381537159</v>
      </c>
      <c r="J291" s="65">
        <f>$C$12*Table32[[#This Row],[opening balance]]</f>
        <v>70.521452654720846</v>
      </c>
      <c r="K291" s="65">
        <f>Table32[[#This Row],[monthly installment]]-Table32[[#This Row],[interest]]</f>
        <v>751.77257116065073</v>
      </c>
      <c r="L291" s="52">
        <f>Table32[[#This Row],[opening balance]]-Table32[[#This Row],[principal paid]]</f>
        <v>8651.0877828021294</v>
      </c>
    </row>
    <row r="292" spans="7:12">
      <c r="G292">
        <f t="shared" si="24"/>
        <v>290</v>
      </c>
      <c r="H292" s="52">
        <f t="shared" si="25"/>
        <v>8651.0877828021294</v>
      </c>
      <c r="I292" s="1">
        <f t="shared" si="21"/>
        <v>822.29402381537159</v>
      </c>
      <c r="J292" s="65">
        <f>$C$12*Table32[[#This Row],[opening balance]]</f>
        <v>64.883158371015966</v>
      </c>
      <c r="K292" s="65">
        <f>Table32[[#This Row],[monthly installment]]-Table32[[#This Row],[interest]]</f>
        <v>757.41086544435564</v>
      </c>
      <c r="L292" s="52">
        <f>Table32[[#This Row],[opening balance]]-Table32[[#This Row],[principal paid]]</f>
        <v>7893.6769173577741</v>
      </c>
    </row>
    <row r="293" spans="7:12">
      <c r="G293">
        <f t="shared" si="24"/>
        <v>291</v>
      </c>
      <c r="H293" s="52">
        <f t="shared" si="25"/>
        <v>7893.6769173577741</v>
      </c>
      <c r="I293" s="1">
        <f t="shared" si="21"/>
        <v>822.29402381537159</v>
      </c>
      <c r="J293" s="65">
        <f>$C$12*Table32[[#This Row],[opening balance]]</f>
        <v>59.202576880183301</v>
      </c>
      <c r="K293" s="65">
        <f>Table32[[#This Row],[monthly installment]]-Table32[[#This Row],[interest]]</f>
        <v>763.09144693518829</v>
      </c>
      <c r="L293" s="52">
        <f>Table32[[#This Row],[opening balance]]-Table32[[#This Row],[principal paid]]</f>
        <v>7130.5854704225858</v>
      </c>
    </row>
    <row r="294" spans="7:12">
      <c r="G294">
        <f t="shared" si="24"/>
        <v>292</v>
      </c>
      <c r="H294" s="52">
        <f t="shared" si="25"/>
        <v>7130.5854704225858</v>
      </c>
      <c r="I294" s="1">
        <f t="shared" si="21"/>
        <v>822.29402381537159</v>
      </c>
      <c r="J294" s="65">
        <f>$C$12*Table32[[#This Row],[opening balance]]</f>
        <v>53.479391028169388</v>
      </c>
      <c r="K294" s="65">
        <f>Table32[[#This Row],[monthly installment]]-Table32[[#This Row],[interest]]</f>
        <v>768.81463278720219</v>
      </c>
      <c r="L294" s="52">
        <f>Table32[[#This Row],[opening balance]]-Table32[[#This Row],[principal paid]]</f>
        <v>6361.7708376353839</v>
      </c>
    </row>
    <row r="295" spans="7:12">
      <c r="G295">
        <f t="shared" si="24"/>
        <v>293</v>
      </c>
      <c r="H295" s="52">
        <f t="shared" si="25"/>
        <v>6361.7708376353839</v>
      </c>
      <c r="I295" s="1">
        <f t="shared" si="21"/>
        <v>822.29402381537159</v>
      </c>
      <c r="J295" s="65">
        <f>$C$12*Table32[[#This Row],[opening balance]]</f>
        <v>47.713281282265378</v>
      </c>
      <c r="K295" s="65">
        <f>Table32[[#This Row],[monthly installment]]-Table32[[#This Row],[interest]]</f>
        <v>774.58074253310622</v>
      </c>
      <c r="L295" s="52">
        <f>Table32[[#This Row],[opening balance]]-Table32[[#This Row],[principal paid]]</f>
        <v>5587.1900951022781</v>
      </c>
    </row>
    <row r="296" spans="7:12">
      <c r="G296">
        <f t="shared" si="24"/>
        <v>294</v>
      </c>
      <c r="H296" s="52">
        <f t="shared" si="25"/>
        <v>5587.1900951022781</v>
      </c>
      <c r="I296" s="1">
        <f t="shared" si="21"/>
        <v>822.29402381537159</v>
      </c>
      <c r="J296" s="65">
        <f>$C$12*Table32[[#This Row],[opening balance]]</f>
        <v>41.903925713267085</v>
      </c>
      <c r="K296" s="65">
        <f>Table32[[#This Row],[monthly installment]]-Table32[[#This Row],[interest]]</f>
        <v>780.3900981021045</v>
      </c>
      <c r="L296" s="52">
        <f>Table32[[#This Row],[opening balance]]-Table32[[#This Row],[principal paid]]</f>
        <v>4806.7999970001738</v>
      </c>
    </row>
    <row r="297" spans="7:12">
      <c r="G297">
        <f t="shared" si="24"/>
        <v>295</v>
      </c>
      <c r="H297" s="52">
        <f t="shared" ref="H297:H302" si="26">L296</f>
        <v>4806.7999970001738</v>
      </c>
      <c r="I297" s="1">
        <f t="shared" si="21"/>
        <v>822.29402381537159</v>
      </c>
      <c r="J297" s="65">
        <f>$C$12*Table32[[#This Row],[opening balance]]</f>
        <v>36.050999977501299</v>
      </c>
      <c r="K297" s="65">
        <f>Table32[[#This Row],[monthly installment]]-Table32[[#This Row],[interest]]</f>
        <v>786.24302383787028</v>
      </c>
      <c r="L297" s="52">
        <f>Table32[[#This Row],[opening balance]]-Table32[[#This Row],[principal paid]]</f>
        <v>4020.5569731623036</v>
      </c>
    </row>
    <row r="298" spans="7:12">
      <c r="G298">
        <f t="shared" si="24"/>
        <v>296</v>
      </c>
      <c r="H298" s="52">
        <f t="shared" si="26"/>
        <v>4020.5569731623036</v>
      </c>
      <c r="I298" s="1">
        <f t="shared" si="21"/>
        <v>822.29402381537159</v>
      </c>
      <c r="J298" s="65">
        <f>$C$12*Table32[[#This Row],[opening balance]]</f>
        <v>30.154177298717276</v>
      </c>
      <c r="K298" s="65">
        <f>Table32[[#This Row],[monthly installment]]-Table32[[#This Row],[interest]]</f>
        <v>792.1398465166543</v>
      </c>
      <c r="L298" s="52">
        <f>Table32[[#This Row],[opening balance]]-Table32[[#This Row],[principal paid]]</f>
        <v>3228.4171266456492</v>
      </c>
    </row>
    <row r="299" spans="7:12">
      <c r="G299">
        <f t="shared" si="24"/>
        <v>297</v>
      </c>
      <c r="H299" s="52">
        <f t="shared" si="26"/>
        <v>3228.4171266456492</v>
      </c>
      <c r="I299" s="1">
        <f t="shared" si="21"/>
        <v>822.29402381537159</v>
      </c>
      <c r="J299" s="65">
        <f>$C$12*Table32[[#This Row],[opening balance]]</f>
        <v>24.213128449842369</v>
      </c>
      <c r="K299" s="65">
        <f>Table32[[#This Row],[monthly installment]]-Table32[[#This Row],[interest]]</f>
        <v>798.08089536552927</v>
      </c>
      <c r="L299" s="52">
        <f>Table32[[#This Row],[opening balance]]-Table32[[#This Row],[principal paid]]</f>
        <v>2430.33623128012</v>
      </c>
    </row>
    <row r="300" spans="7:12">
      <c r="G300">
        <f t="shared" si="24"/>
        <v>298</v>
      </c>
      <c r="H300" s="52">
        <f t="shared" si="26"/>
        <v>2430.33623128012</v>
      </c>
      <c r="I300" s="1">
        <f t="shared" si="21"/>
        <v>822.29402381537159</v>
      </c>
      <c r="J300" s="65">
        <f>$C$12*Table32[[#This Row],[opening balance]]</f>
        <v>18.227521734600899</v>
      </c>
      <c r="K300" s="65">
        <f>Table32[[#This Row],[monthly installment]]-Table32[[#This Row],[interest]]</f>
        <v>804.06650208077065</v>
      </c>
      <c r="L300" s="52">
        <f>Table32[[#This Row],[opening balance]]-Table32[[#This Row],[principal paid]]</f>
        <v>1626.2697291993495</v>
      </c>
    </row>
    <row r="301" spans="7:12">
      <c r="G301">
        <f t="shared" si="24"/>
        <v>299</v>
      </c>
      <c r="H301" s="52">
        <f t="shared" si="26"/>
        <v>1626.2697291993495</v>
      </c>
      <c r="I301" s="1">
        <f t="shared" si="21"/>
        <v>822.29402381537159</v>
      </c>
      <c r="J301" s="65">
        <f>$C$12*Table32[[#This Row],[opening balance]]</f>
        <v>12.197022968995121</v>
      </c>
      <c r="K301" s="65">
        <f>Table32[[#This Row],[monthly installment]]-Table32[[#This Row],[interest]]</f>
        <v>810.09700084637643</v>
      </c>
      <c r="L301" s="52">
        <f>Table32[[#This Row],[opening balance]]-Table32[[#This Row],[principal paid]]</f>
        <v>816.17272835297308</v>
      </c>
    </row>
    <row r="302" spans="7:12">
      <c r="G302">
        <f t="shared" si="24"/>
        <v>300</v>
      </c>
      <c r="H302" s="52">
        <f t="shared" si="26"/>
        <v>816.17272835297308</v>
      </c>
      <c r="I302" s="1">
        <f t="shared" si="21"/>
        <v>822.29402381537159</v>
      </c>
      <c r="J302" s="65">
        <f>$C$12*Table32[[#This Row],[opening balance]]</f>
        <v>6.1212954626472982</v>
      </c>
      <c r="K302" s="65">
        <f>Table32[[#This Row],[monthly installment]]-Table32[[#This Row],[interest]]</f>
        <v>816.17272835272433</v>
      </c>
      <c r="L302" s="52">
        <f>Table32[[#This Row],[opening balance]]-Table32[[#This Row],[principal paid]]</f>
        <v>2.4874680093489587E-10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="68" workbookViewId="0">
      <selection activeCell="G11" sqref="G11"/>
    </sheetView>
  </sheetViews>
  <sheetFormatPr defaultRowHeight="14.25"/>
  <cols>
    <col min="1" max="1" width="27.125" customWidth="1"/>
    <col min="2" max="2" width="9.375" customWidth="1"/>
    <col min="5" max="5" width="8.5" bestFit="1" customWidth="1"/>
    <col min="6" max="6" width="13.125" customWidth="1"/>
    <col min="7" max="7" width="16.75" customWidth="1"/>
    <col min="8" max="8" width="15.25" customWidth="1"/>
    <col min="9" max="9" width="15.125" customWidth="1"/>
    <col min="10" max="10" width="19.5" customWidth="1"/>
    <col min="11" max="11" width="16" customWidth="1"/>
  </cols>
  <sheetData>
    <row r="1" spans="1:11">
      <c r="A1" t="s">
        <v>10</v>
      </c>
      <c r="B1" t="s">
        <v>11</v>
      </c>
      <c r="E1" t="s">
        <v>30</v>
      </c>
      <c r="F1" t="s">
        <v>32</v>
      </c>
      <c r="G1" t="s">
        <v>5</v>
      </c>
      <c r="H1" t="s">
        <v>6</v>
      </c>
      <c r="I1" t="s">
        <v>29</v>
      </c>
      <c r="J1" t="s">
        <v>8</v>
      </c>
      <c r="K1" t="s">
        <v>9</v>
      </c>
    </row>
    <row r="2" spans="1:11">
      <c r="A2" t="s">
        <v>12</v>
      </c>
      <c r="B2">
        <v>2000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B2</f>
        <v>2000</v>
      </c>
    </row>
    <row r="3" spans="1:11">
      <c r="A3" t="s">
        <v>24</v>
      </c>
      <c r="B3">
        <v>0.12</v>
      </c>
      <c r="E3">
        <v>1</v>
      </c>
      <c r="F3">
        <f>E26</f>
        <v>24</v>
      </c>
      <c r="G3" s="16">
        <f>K2</f>
        <v>2000</v>
      </c>
      <c r="H3" s="16">
        <f>$B$7</f>
        <v>103.33333333333333</v>
      </c>
      <c r="I3" s="16">
        <f>F3*$B$9</f>
        <v>38.400000000000006</v>
      </c>
      <c r="J3" s="16">
        <f>H3-I3</f>
        <v>64.933333333333323</v>
      </c>
      <c r="K3" s="16">
        <f>G3-J3</f>
        <v>1935.0666666666666</v>
      </c>
    </row>
    <row r="4" spans="1:11">
      <c r="A4" t="s">
        <v>26</v>
      </c>
      <c r="B4">
        <v>2</v>
      </c>
      <c r="E4">
        <v>2</v>
      </c>
      <c r="F4">
        <f>F3-1</f>
        <v>23</v>
      </c>
      <c r="G4" s="16">
        <f t="shared" ref="G4:G26" si="0">K3</f>
        <v>1935.0666666666666</v>
      </c>
      <c r="H4" s="16">
        <f t="shared" ref="H4:H26" si="1">$B$7</f>
        <v>103.33333333333333</v>
      </c>
      <c r="I4" s="16">
        <f t="shared" ref="I4:I26" si="2">F4*$B$9</f>
        <v>36.800000000000004</v>
      </c>
      <c r="J4" s="16">
        <f t="shared" ref="J4:J26" si="3">H4-I4</f>
        <v>66.533333333333331</v>
      </c>
      <c r="K4" s="16">
        <f t="shared" ref="K4:K26" si="4">G4-J4</f>
        <v>1868.5333333333333</v>
      </c>
    </row>
    <row r="5" spans="1:11">
      <c r="A5" t="s">
        <v>15</v>
      </c>
      <c r="B5">
        <f>B4*12</f>
        <v>24</v>
      </c>
      <c r="E5">
        <v>3</v>
      </c>
      <c r="F5">
        <f>F4-1</f>
        <v>22</v>
      </c>
      <c r="G5" s="16">
        <f t="shared" si="0"/>
        <v>1868.5333333333333</v>
      </c>
      <c r="H5" s="16">
        <f t="shared" si="1"/>
        <v>103.33333333333333</v>
      </c>
      <c r="I5" s="16">
        <f t="shared" si="2"/>
        <v>35.200000000000003</v>
      </c>
      <c r="J5" s="16">
        <f t="shared" si="3"/>
        <v>68.133333333333326</v>
      </c>
      <c r="K5" s="16">
        <f t="shared" si="4"/>
        <v>1800.4</v>
      </c>
    </row>
    <row r="6" spans="1:11">
      <c r="A6" t="s">
        <v>25</v>
      </c>
      <c r="B6">
        <f>B2*B3*B4</f>
        <v>480</v>
      </c>
      <c r="E6">
        <v>4</v>
      </c>
      <c r="F6">
        <f t="shared" ref="F6:F26" si="5">F5-1</f>
        <v>21</v>
      </c>
      <c r="G6" s="16">
        <f t="shared" si="0"/>
        <v>1800.4</v>
      </c>
      <c r="H6" s="16">
        <f t="shared" si="1"/>
        <v>103.33333333333333</v>
      </c>
      <c r="I6" s="16">
        <f t="shared" si="2"/>
        <v>33.6</v>
      </c>
      <c r="J6" s="16">
        <f t="shared" si="3"/>
        <v>69.73333333333332</v>
      </c>
      <c r="K6" s="16">
        <f t="shared" si="4"/>
        <v>1730.6666666666667</v>
      </c>
    </row>
    <row r="7" spans="1:11">
      <c r="A7" t="s">
        <v>17</v>
      </c>
      <c r="B7" s="16">
        <f>(B2+B6)/B5</f>
        <v>103.33333333333333</v>
      </c>
      <c r="E7">
        <v>5</v>
      </c>
      <c r="F7">
        <f t="shared" si="5"/>
        <v>20</v>
      </c>
      <c r="G7" s="16">
        <f t="shared" si="0"/>
        <v>1730.6666666666667</v>
      </c>
      <c r="H7" s="16">
        <f t="shared" si="1"/>
        <v>103.33333333333333</v>
      </c>
      <c r="I7" s="16">
        <f t="shared" si="2"/>
        <v>32</v>
      </c>
      <c r="J7" s="16">
        <f t="shared" si="3"/>
        <v>71.333333333333329</v>
      </c>
      <c r="K7" s="16">
        <f t="shared" si="4"/>
        <v>1659.3333333333335</v>
      </c>
    </row>
    <row r="8" spans="1:11">
      <c r="A8" t="s">
        <v>27</v>
      </c>
      <c r="B8">
        <f>B5/2*(1+B5)</f>
        <v>300</v>
      </c>
      <c r="E8">
        <v>6</v>
      </c>
      <c r="F8">
        <f t="shared" si="5"/>
        <v>19</v>
      </c>
      <c r="G8" s="16">
        <f t="shared" si="0"/>
        <v>1659.3333333333335</v>
      </c>
      <c r="H8" s="16">
        <f t="shared" si="1"/>
        <v>103.33333333333333</v>
      </c>
      <c r="I8" s="16">
        <f t="shared" si="2"/>
        <v>30.400000000000002</v>
      </c>
      <c r="J8" s="16">
        <f t="shared" si="3"/>
        <v>72.933333333333323</v>
      </c>
      <c r="K8" s="16">
        <f t="shared" si="4"/>
        <v>1586.4</v>
      </c>
    </row>
    <row r="9" spans="1:11">
      <c r="A9" t="s">
        <v>28</v>
      </c>
      <c r="B9">
        <f>B6/B8</f>
        <v>1.6</v>
      </c>
      <c r="E9">
        <v>7</v>
      </c>
      <c r="F9">
        <f t="shared" si="5"/>
        <v>18</v>
      </c>
      <c r="G9" s="16">
        <f t="shared" si="0"/>
        <v>1586.4</v>
      </c>
      <c r="H9" s="16">
        <f t="shared" si="1"/>
        <v>103.33333333333333</v>
      </c>
      <c r="I9" s="16">
        <f t="shared" si="2"/>
        <v>28.8</v>
      </c>
      <c r="J9" s="16">
        <f t="shared" si="3"/>
        <v>74.533333333333331</v>
      </c>
      <c r="K9" s="16">
        <f t="shared" si="4"/>
        <v>1511.8666666666668</v>
      </c>
    </row>
    <row r="10" spans="1:11">
      <c r="E10">
        <v>8</v>
      </c>
      <c r="F10">
        <f t="shared" si="5"/>
        <v>17</v>
      </c>
      <c r="G10" s="16">
        <f t="shared" si="0"/>
        <v>1511.8666666666668</v>
      </c>
      <c r="H10" s="16">
        <f t="shared" si="1"/>
        <v>103.33333333333333</v>
      </c>
      <c r="I10" s="16">
        <f t="shared" si="2"/>
        <v>27.200000000000003</v>
      </c>
      <c r="J10" s="16">
        <f t="shared" si="3"/>
        <v>76.133333333333326</v>
      </c>
      <c r="K10" s="16">
        <f t="shared" si="4"/>
        <v>1435.7333333333336</v>
      </c>
    </row>
    <row r="11" spans="1:11">
      <c r="E11">
        <v>9</v>
      </c>
      <c r="F11">
        <f t="shared" si="5"/>
        <v>16</v>
      </c>
      <c r="G11" s="16">
        <f t="shared" si="0"/>
        <v>1435.7333333333336</v>
      </c>
      <c r="H11" s="16">
        <f t="shared" si="1"/>
        <v>103.33333333333333</v>
      </c>
      <c r="I11" s="16">
        <f t="shared" si="2"/>
        <v>25.6</v>
      </c>
      <c r="J11" s="16">
        <f t="shared" si="3"/>
        <v>77.73333333333332</v>
      </c>
      <c r="K11" s="16">
        <f t="shared" si="4"/>
        <v>1358.0000000000002</v>
      </c>
    </row>
    <row r="12" spans="1:11">
      <c r="E12">
        <v>10</v>
      </c>
      <c r="F12">
        <f t="shared" si="5"/>
        <v>15</v>
      </c>
      <c r="G12" s="16">
        <f t="shared" si="0"/>
        <v>1358.0000000000002</v>
      </c>
      <c r="H12" s="16">
        <f t="shared" si="1"/>
        <v>103.33333333333333</v>
      </c>
      <c r="I12" s="16">
        <f t="shared" si="2"/>
        <v>24</v>
      </c>
      <c r="J12" s="16">
        <f t="shared" si="3"/>
        <v>79.333333333333329</v>
      </c>
      <c r="K12" s="16">
        <f t="shared" si="4"/>
        <v>1278.666666666667</v>
      </c>
    </row>
    <row r="13" spans="1:11">
      <c r="E13">
        <v>11</v>
      </c>
      <c r="F13">
        <f t="shared" si="5"/>
        <v>14</v>
      </c>
      <c r="G13" s="16">
        <f t="shared" si="0"/>
        <v>1278.666666666667</v>
      </c>
      <c r="H13" s="16">
        <f t="shared" si="1"/>
        <v>103.33333333333333</v>
      </c>
      <c r="I13" s="16">
        <f t="shared" si="2"/>
        <v>22.400000000000002</v>
      </c>
      <c r="J13" s="16">
        <f t="shared" si="3"/>
        <v>80.933333333333323</v>
      </c>
      <c r="K13" s="16">
        <f t="shared" si="4"/>
        <v>1197.7333333333336</v>
      </c>
    </row>
    <row r="14" spans="1:11">
      <c r="E14">
        <v>12</v>
      </c>
      <c r="F14">
        <f t="shared" si="5"/>
        <v>13</v>
      </c>
      <c r="G14" s="16">
        <f t="shared" si="0"/>
        <v>1197.7333333333336</v>
      </c>
      <c r="H14" s="16">
        <f t="shared" si="1"/>
        <v>103.33333333333333</v>
      </c>
      <c r="I14" s="16">
        <f t="shared" si="2"/>
        <v>20.8</v>
      </c>
      <c r="J14" s="16">
        <f t="shared" si="3"/>
        <v>82.533333333333331</v>
      </c>
      <c r="K14" s="16">
        <f t="shared" si="4"/>
        <v>1115.2000000000003</v>
      </c>
    </row>
    <row r="15" spans="1:11">
      <c r="E15">
        <v>13</v>
      </c>
      <c r="F15">
        <f t="shared" si="5"/>
        <v>12</v>
      </c>
      <c r="G15" s="16">
        <f t="shared" si="0"/>
        <v>1115.2000000000003</v>
      </c>
      <c r="H15" s="16">
        <f t="shared" si="1"/>
        <v>103.33333333333333</v>
      </c>
      <c r="I15" s="16">
        <f t="shared" si="2"/>
        <v>19.200000000000003</v>
      </c>
      <c r="J15" s="16">
        <f t="shared" si="3"/>
        <v>84.133333333333326</v>
      </c>
      <c r="K15" s="16">
        <f t="shared" si="4"/>
        <v>1031.0666666666671</v>
      </c>
    </row>
    <row r="16" spans="1:11">
      <c r="E16">
        <v>14</v>
      </c>
      <c r="F16">
        <f t="shared" si="5"/>
        <v>11</v>
      </c>
      <c r="G16" s="16">
        <f t="shared" si="0"/>
        <v>1031.0666666666671</v>
      </c>
      <c r="H16" s="16">
        <f t="shared" si="1"/>
        <v>103.33333333333333</v>
      </c>
      <c r="I16" s="16">
        <f t="shared" si="2"/>
        <v>17.600000000000001</v>
      </c>
      <c r="J16" s="16">
        <f t="shared" si="3"/>
        <v>85.73333333333332</v>
      </c>
      <c r="K16" s="16">
        <f t="shared" si="4"/>
        <v>945.33333333333371</v>
      </c>
    </row>
    <row r="17" spans="5:11">
      <c r="E17">
        <v>15</v>
      </c>
      <c r="F17">
        <f t="shared" si="5"/>
        <v>10</v>
      </c>
      <c r="G17" s="16">
        <f t="shared" si="0"/>
        <v>945.33333333333371</v>
      </c>
      <c r="H17" s="16">
        <f t="shared" si="1"/>
        <v>103.33333333333333</v>
      </c>
      <c r="I17" s="16">
        <f t="shared" si="2"/>
        <v>16</v>
      </c>
      <c r="J17" s="16">
        <f t="shared" si="3"/>
        <v>87.333333333333329</v>
      </c>
      <c r="K17" s="16">
        <f t="shared" si="4"/>
        <v>858.00000000000034</v>
      </c>
    </row>
    <row r="18" spans="5:11">
      <c r="E18">
        <v>16</v>
      </c>
      <c r="F18">
        <f t="shared" si="5"/>
        <v>9</v>
      </c>
      <c r="G18" s="16">
        <f t="shared" si="0"/>
        <v>858.00000000000034</v>
      </c>
      <c r="H18" s="16">
        <f t="shared" si="1"/>
        <v>103.33333333333333</v>
      </c>
      <c r="I18" s="16">
        <f t="shared" si="2"/>
        <v>14.4</v>
      </c>
      <c r="J18" s="16">
        <f t="shared" si="3"/>
        <v>88.933333333333323</v>
      </c>
      <c r="K18" s="16">
        <f t="shared" si="4"/>
        <v>769.06666666666706</v>
      </c>
    </row>
    <row r="19" spans="5:11">
      <c r="E19">
        <v>17</v>
      </c>
      <c r="F19">
        <f t="shared" si="5"/>
        <v>8</v>
      </c>
      <c r="G19" s="16">
        <f t="shared" si="0"/>
        <v>769.06666666666706</v>
      </c>
      <c r="H19" s="16">
        <f t="shared" si="1"/>
        <v>103.33333333333333</v>
      </c>
      <c r="I19" s="16">
        <f t="shared" si="2"/>
        <v>12.8</v>
      </c>
      <c r="J19" s="16">
        <f t="shared" si="3"/>
        <v>90.533333333333331</v>
      </c>
      <c r="K19" s="16">
        <f t="shared" si="4"/>
        <v>678.53333333333376</v>
      </c>
    </row>
    <row r="20" spans="5:11">
      <c r="E20">
        <v>18</v>
      </c>
      <c r="F20">
        <f t="shared" si="5"/>
        <v>7</v>
      </c>
      <c r="G20" s="16">
        <f t="shared" si="0"/>
        <v>678.53333333333376</v>
      </c>
      <c r="H20" s="16">
        <f t="shared" si="1"/>
        <v>103.33333333333333</v>
      </c>
      <c r="I20" s="16">
        <f t="shared" si="2"/>
        <v>11.200000000000001</v>
      </c>
      <c r="J20" s="16">
        <f t="shared" si="3"/>
        <v>92.133333333333326</v>
      </c>
      <c r="K20" s="16">
        <f t="shared" si="4"/>
        <v>586.40000000000043</v>
      </c>
    </row>
    <row r="21" spans="5:11">
      <c r="E21">
        <v>19</v>
      </c>
      <c r="F21">
        <f t="shared" si="5"/>
        <v>6</v>
      </c>
      <c r="G21" s="16">
        <f t="shared" si="0"/>
        <v>586.40000000000043</v>
      </c>
      <c r="H21" s="16">
        <f t="shared" si="1"/>
        <v>103.33333333333333</v>
      </c>
      <c r="I21" s="16">
        <f t="shared" si="2"/>
        <v>9.6000000000000014</v>
      </c>
      <c r="J21" s="16">
        <f t="shared" si="3"/>
        <v>93.73333333333332</v>
      </c>
      <c r="K21" s="16">
        <f t="shared" si="4"/>
        <v>492.66666666666708</v>
      </c>
    </row>
    <row r="22" spans="5:11">
      <c r="E22">
        <v>20</v>
      </c>
      <c r="F22">
        <f t="shared" si="5"/>
        <v>5</v>
      </c>
      <c r="G22" s="16">
        <f t="shared" si="0"/>
        <v>492.66666666666708</v>
      </c>
      <c r="H22" s="16">
        <f t="shared" si="1"/>
        <v>103.33333333333333</v>
      </c>
      <c r="I22" s="16">
        <f t="shared" si="2"/>
        <v>8</v>
      </c>
      <c r="J22" s="16">
        <f t="shared" si="3"/>
        <v>95.333333333333329</v>
      </c>
      <c r="K22" s="16">
        <f t="shared" si="4"/>
        <v>397.33333333333377</v>
      </c>
    </row>
    <row r="23" spans="5:11">
      <c r="E23">
        <v>21</v>
      </c>
      <c r="F23">
        <f t="shared" si="5"/>
        <v>4</v>
      </c>
      <c r="G23" s="16">
        <f t="shared" si="0"/>
        <v>397.33333333333377</v>
      </c>
      <c r="H23" s="16">
        <f t="shared" si="1"/>
        <v>103.33333333333333</v>
      </c>
      <c r="I23" s="16">
        <f t="shared" si="2"/>
        <v>6.4</v>
      </c>
      <c r="J23" s="16">
        <f t="shared" si="3"/>
        <v>96.933333333333323</v>
      </c>
      <c r="K23" s="16">
        <f t="shared" si="4"/>
        <v>300.40000000000043</v>
      </c>
    </row>
    <row r="24" spans="5:11">
      <c r="E24">
        <v>22</v>
      </c>
      <c r="F24">
        <f t="shared" si="5"/>
        <v>3</v>
      </c>
      <c r="G24" s="16">
        <f t="shared" si="0"/>
        <v>300.40000000000043</v>
      </c>
      <c r="H24" s="16">
        <f t="shared" si="1"/>
        <v>103.33333333333333</v>
      </c>
      <c r="I24" s="16">
        <f t="shared" si="2"/>
        <v>4.8000000000000007</v>
      </c>
      <c r="J24" s="16">
        <f t="shared" si="3"/>
        <v>98.533333333333331</v>
      </c>
      <c r="K24" s="16">
        <f t="shared" si="4"/>
        <v>201.8666666666671</v>
      </c>
    </row>
    <row r="25" spans="5:11">
      <c r="E25">
        <v>23</v>
      </c>
      <c r="F25">
        <f t="shared" si="5"/>
        <v>2</v>
      </c>
      <c r="G25" s="16">
        <f t="shared" si="0"/>
        <v>201.8666666666671</v>
      </c>
      <c r="H25" s="16">
        <f t="shared" si="1"/>
        <v>103.33333333333333</v>
      </c>
      <c r="I25" s="16">
        <f t="shared" si="2"/>
        <v>3.2</v>
      </c>
      <c r="J25" s="16">
        <f t="shared" si="3"/>
        <v>100.13333333333333</v>
      </c>
      <c r="K25" s="16">
        <f t="shared" si="4"/>
        <v>101.73333333333377</v>
      </c>
    </row>
    <row r="26" spans="5:11">
      <c r="E26">
        <v>24</v>
      </c>
      <c r="F26">
        <f t="shared" si="5"/>
        <v>1</v>
      </c>
      <c r="G26" s="16">
        <f t="shared" si="0"/>
        <v>101.73333333333377</v>
      </c>
      <c r="H26" s="16">
        <f t="shared" si="1"/>
        <v>103.33333333333333</v>
      </c>
      <c r="I26" s="16">
        <f t="shared" si="2"/>
        <v>1.6</v>
      </c>
      <c r="J26" s="16">
        <f t="shared" si="3"/>
        <v>101.73333333333333</v>
      </c>
      <c r="K26" s="16">
        <f t="shared" si="4"/>
        <v>4.4053649617126212E-13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B1" workbookViewId="0">
      <selection activeCell="C24" sqref="C24"/>
    </sheetView>
  </sheetViews>
  <sheetFormatPr defaultRowHeight="14.25"/>
  <cols>
    <col min="1" max="1" width="27.125" customWidth="1"/>
    <col min="2" max="2" width="9.375" customWidth="1"/>
    <col min="5" max="5" width="8.625" customWidth="1"/>
    <col min="6" max="6" width="13.75" customWidth="1"/>
    <col min="7" max="7" width="18" customWidth="1"/>
    <col min="8" max="8" width="15.5" customWidth="1"/>
    <col min="9" max="9" width="16" customWidth="1"/>
    <col min="10" max="10" width="20.25" customWidth="1"/>
    <col min="11" max="11" width="17.125" customWidth="1"/>
  </cols>
  <sheetData>
    <row r="1" spans="1:11" ht="15">
      <c r="A1" t="s">
        <v>10</v>
      </c>
      <c r="B1" t="s">
        <v>11</v>
      </c>
      <c r="E1" s="66" t="s">
        <v>30</v>
      </c>
      <c r="F1" s="66" t="s">
        <v>32</v>
      </c>
      <c r="G1" s="66" t="s">
        <v>5</v>
      </c>
      <c r="H1" s="66" t="s">
        <v>6</v>
      </c>
      <c r="I1" s="66" t="s">
        <v>29</v>
      </c>
      <c r="J1" s="66" t="s">
        <v>8</v>
      </c>
      <c r="K1" s="66" t="s">
        <v>9</v>
      </c>
    </row>
    <row r="2" spans="1:11">
      <c r="A2" t="s">
        <v>12</v>
      </c>
      <c r="B2">
        <v>2000</v>
      </c>
      <c r="E2" s="61">
        <v>0</v>
      </c>
      <c r="F2" s="61">
        <v>0</v>
      </c>
      <c r="G2" s="61">
        <v>0</v>
      </c>
      <c r="H2" s="61">
        <v>0</v>
      </c>
      <c r="I2" s="61">
        <v>0</v>
      </c>
      <c r="J2" s="61">
        <v>0</v>
      </c>
      <c r="K2" s="61">
        <f>B2</f>
        <v>2000</v>
      </c>
    </row>
    <row r="3" spans="1:11">
      <c r="A3" t="s">
        <v>24</v>
      </c>
      <c r="B3">
        <v>0.12</v>
      </c>
      <c r="E3" s="62">
        <v>1</v>
      </c>
      <c r="F3" s="62">
        <f>B5</f>
        <v>24</v>
      </c>
      <c r="G3" s="63">
        <f>K2</f>
        <v>2000</v>
      </c>
      <c r="H3" s="63">
        <f>$B$7</f>
        <v>103.33333333333333</v>
      </c>
      <c r="I3" s="63">
        <f>F3*$B$9</f>
        <v>38.400000000000006</v>
      </c>
      <c r="J3" s="63">
        <f>H3-I3</f>
        <v>64.933333333333323</v>
      </c>
      <c r="K3" s="63">
        <f>G3-J3</f>
        <v>1935.0666666666666</v>
      </c>
    </row>
    <row r="4" spans="1:11">
      <c r="A4" t="s">
        <v>26</v>
      </c>
      <c r="B4">
        <v>2</v>
      </c>
      <c r="E4" s="61">
        <v>2</v>
      </c>
      <c r="F4" s="61">
        <f>F3-1</f>
        <v>23</v>
      </c>
      <c r="G4" s="64">
        <f t="shared" ref="G4:G11" si="0">K3</f>
        <v>1935.0666666666666</v>
      </c>
      <c r="H4" s="64">
        <f t="shared" ref="H4:H11" si="1">$B$7</f>
        <v>103.33333333333333</v>
      </c>
      <c r="I4" s="64">
        <f t="shared" ref="I4:I11" si="2">F4*$B$9</f>
        <v>36.800000000000004</v>
      </c>
      <c r="J4" s="64">
        <f t="shared" ref="J4:J11" si="3">H4-I4</f>
        <v>66.533333333333331</v>
      </c>
      <c r="K4" s="64">
        <f t="shared" ref="K4:K11" si="4">G4-J4</f>
        <v>1868.5333333333333</v>
      </c>
    </row>
    <row r="5" spans="1:11">
      <c r="A5" t="s">
        <v>15</v>
      </c>
      <c r="B5">
        <f>B4*12</f>
        <v>24</v>
      </c>
      <c r="E5" s="62">
        <v>3</v>
      </c>
      <c r="F5" s="62">
        <f>F4-1</f>
        <v>22</v>
      </c>
      <c r="G5" s="63">
        <f t="shared" si="0"/>
        <v>1868.5333333333333</v>
      </c>
      <c r="H5" s="63">
        <f t="shared" si="1"/>
        <v>103.33333333333333</v>
      </c>
      <c r="I5" s="63">
        <f t="shared" si="2"/>
        <v>35.200000000000003</v>
      </c>
      <c r="J5" s="63">
        <f t="shared" si="3"/>
        <v>68.133333333333326</v>
      </c>
      <c r="K5" s="63">
        <f t="shared" si="4"/>
        <v>1800.4</v>
      </c>
    </row>
    <row r="6" spans="1:11">
      <c r="A6" t="s">
        <v>25</v>
      </c>
      <c r="B6">
        <f>B2*B3*B4</f>
        <v>480</v>
      </c>
      <c r="E6" s="61">
        <v>4</v>
      </c>
      <c r="F6" s="61">
        <f t="shared" ref="F6:F11" si="5">F5-1</f>
        <v>21</v>
      </c>
      <c r="G6" s="64">
        <f t="shared" si="0"/>
        <v>1800.4</v>
      </c>
      <c r="H6" s="64">
        <f t="shared" si="1"/>
        <v>103.33333333333333</v>
      </c>
      <c r="I6" s="64">
        <f t="shared" si="2"/>
        <v>33.6</v>
      </c>
      <c r="J6" s="64">
        <f t="shared" si="3"/>
        <v>69.73333333333332</v>
      </c>
      <c r="K6" s="64">
        <f t="shared" si="4"/>
        <v>1730.6666666666667</v>
      </c>
    </row>
    <row r="7" spans="1:11">
      <c r="A7" t="s">
        <v>17</v>
      </c>
      <c r="B7" s="16">
        <f>(B2+B6)/B5</f>
        <v>103.33333333333333</v>
      </c>
      <c r="E7" s="62">
        <v>5</v>
      </c>
      <c r="F7" s="62">
        <f t="shared" si="5"/>
        <v>20</v>
      </c>
      <c r="G7" s="63">
        <f t="shared" si="0"/>
        <v>1730.6666666666667</v>
      </c>
      <c r="H7" s="63">
        <f t="shared" si="1"/>
        <v>103.33333333333333</v>
      </c>
      <c r="I7" s="63">
        <f t="shared" si="2"/>
        <v>32</v>
      </c>
      <c r="J7" s="63">
        <f t="shared" si="3"/>
        <v>71.333333333333329</v>
      </c>
      <c r="K7" s="63">
        <f t="shared" si="4"/>
        <v>1659.3333333333335</v>
      </c>
    </row>
    <row r="8" spans="1:11">
      <c r="A8" t="s">
        <v>27</v>
      </c>
      <c r="B8">
        <f>B5/2*(1+B5)</f>
        <v>300</v>
      </c>
      <c r="E8" s="61">
        <v>6</v>
      </c>
      <c r="F8" s="61">
        <f t="shared" si="5"/>
        <v>19</v>
      </c>
      <c r="G8" s="64">
        <f t="shared" si="0"/>
        <v>1659.3333333333335</v>
      </c>
      <c r="H8" s="64">
        <f t="shared" si="1"/>
        <v>103.33333333333333</v>
      </c>
      <c r="I8" s="64">
        <f t="shared" si="2"/>
        <v>30.400000000000002</v>
      </c>
      <c r="J8" s="64">
        <f t="shared" si="3"/>
        <v>72.933333333333323</v>
      </c>
      <c r="K8" s="64">
        <f t="shared" si="4"/>
        <v>1586.4</v>
      </c>
    </row>
    <row r="9" spans="1:11">
      <c r="A9" t="s">
        <v>28</v>
      </c>
      <c r="B9">
        <f>B6/B8</f>
        <v>1.6</v>
      </c>
      <c r="E9" s="62">
        <v>7</v>
      </c>
      <c r="F9" s="62">
        <f t="shared" si="5"/>
        <v>18</v>
      </c>
      <c r="G9" s="63">
        <f t="shared" si="0"/>
        <v>1586.4</v>
      </c>
      <c r="H9" s="63">
        <f t="shared" si="1"/>
        <v>103.33333333333333</v>
      </c>
      <c r="I9" s="63">
        <f t="shared" si="2"/>
        <v>28.8</v>
      </c>
      <c r="J9" s="63">
        <f t="shared" si="3"/>
        <v>74.533333333333331</v>
      </c>
      <c r="K9" s="63">
        <f t="shared" si="4"/>
        <v>1511.8666666666668</v>
      </c>
    </row>
    <row r="10" spans="1:11">
      <c r="E10" s="61">
        <v>8</v>
      </c>
      <c r="F10" s="61">
        <f t="shared" si="5"/>
        <v>17</v>
      </c>
      <c r="G10" s="64">
        <f t="shared" si="0"/>
        <v>1511.8666666666668</v>
      </c>
      <c r="H10" s="64">
        <f t="shared" si="1"/>
        <v>103.33333333333333</v>
      </c>
      <c r="I10" s="64">
        <f t="shared" si="2"/>
        <v>27.200000000000003</v>
      </c>
      <c r="J10" s="64">
        <f t="shared" si="3"/>
        <v>76.133333333333326</v>
      </c>
      <c r="K10" s="64">
        <f t="shared" si="4"/>
        <v>1435.7333333333336</v>
      </c>
    </row>
    <row r="11" spans="1:11">
      <c r="E11" s="67">
        <v>9</v>
      </c>
      <c r="F11" s="67">
        <f t="shared" si="5"/>
        <v>16</v>
      </c>
      <c r="G11" s="68">
        <f t="shared" si="0"/>
        <v>1435.7333333333336</v>
      </c>
      <c r="H11" s="68">
        <f t="shared" si="1"/>
        <v>103.33333333333333</v>
      </c>
      <c r="I11" s="68">
        <f t="shared" si="2"/>
        <v>25.6</v>
      </c>
      <c r="J11" s="68">
        <f t="shared" si="3"/>
        <v>77.73333333333332</v>
      </c>
      <c r="K11" s="68">
        <f t="shared" si="4"/>
        <v>1358.0000000000002</v>
      </c>
    </row>
    <row r="12" spans="1:11">
      <c r="E12" s="69">
        <v>10</v>
      </c>
      <c r="F12" s="69">
        <f t="shared" ref="F12:F22" si="6">F11-1</f>
        <v>15</v>
      </c>
      <c r="G12" s="70">
        <f t="shared" ref="G12:G22" si="7">K11</f>
        <v>1358.0000000000002</v>
      </c>
      <c r="H12" s="70">
        <f t="shared" ref="H12:H22" si="8">$B$7</f>
        <v>103.33333333333333</v>
      </c>
      <c r="I12" s="70">
        <f t="shared" ref="I12:I22" si="9">F12*$B$9</f>
        <v>24</v>
      </c>
      <c r="J12" s="70">
        <f t="shared" ref="J12:J22" si="10">H12-I12</f>
        <v>79.333333333333329</v>
      </c>
      <c r="K12" s="70">
        <f t="shared" ref="K12:K22" si="11">G12-J12</f>
        <v>1278.666666666667</v>
      </c>
    </row>
    <row r="13" spans="1:11">
      <c r="E13" s="69">
        <v>11</v>
      </c>
      <c r="F13" s="69">
        <f t="shared" si="6"/>
        <v>14</v>
      </c>
      <c r="G13" s="70">
        <f t="shared" si="7"/>
        <v>1278.666666666667</v>
      </c>
      <c r="H13" s="70">
        <f t="shared" si="8"/>
        <v>103.33333333333333</v>
      </c>
      <c r="I13" s="70">
        <f t="shared" si="9"/>
        <v>22.400000000000002</v>
      </c>
      <c r="J13" s="70">
        <f t="shared" si="10"/>
        <v>80.933333333333323</v>
      </c>
      <c r="K13" s="70">
        <f t="shared" si="11"/>
        <v>1197.7333333333336</v>
      </c>
    </row>
    <row r="14" spans="1:11">
      <c r="E14" s="69">
        <v>12</v>
      </c>
      <c r="F14" s="69">
        <f t="shared" si="6"/>
        <v>13</v>
      </c>
      <c r="G14" s="70">
        <f t="shared" si="7"/>
        <v>1197.7333333333336</v>
      </c>
      <c r="H14" s="70">
        <f t="shared" si="8"/>
        <v>103.33333333333333</v>
      </c>
      <c r="I14" s="70">
        <f t="shared" si="9"/>
        <v>20.8</v>
      </c>
      <c r="J14" s="70">
        <f t="shared" si="10"/>
        <v>82.533333333333331</v>
      </c>
      <c r="K14" s="70">
        <f t="shared" si="11"/>
        <v>1115.2000000000003</v>
      </c>
    </row>
    <row r="15" spans="1:11">
      <c r="E15" s="69">
        <v>13</v>
      </c>
      <c r="F15" s="69">
        <f t="shared" si="6"/>
        <v>12</v>
      </c>
      <c r="G15" s="70">
        <f t="shared" si="7"/>
        <v>1115.2000000000003</v>
      </c>
      <c r="H15" s="70">
        <f t="shared" si="8"/>
        <v>103.33333333333333</v>
      </c>
      <c r="I15" s="70">
        <f t="shared" si="9"/>
        <v>19.200000000000003</v>
      </c>
      <c r="J15" s="70">
        <f t="shared" si="10"/>
        <v>84.133333333333326</v>
      </c>
      <c r="K15" s="70">
        <f t="shared" si="11"/>
        <v>1031.0666666666671</v>
      </c>
    </row>
    <row r="16" spans="1:11">
      <c r="E16" s="69">
        <v>14</v>
      </c>
      <c r="F16" s="69">
        <f t="shared" si="6"/>
        <v>11</v>
      </c>
      <c r="G16" s="70">
        <f t="shared" si="7"/>
        <v>1031.0666666666671</v>
      </c>
      <c r="H16" s="70">
        <f t="shared" si="8"/>
        <v>103.33333333333333</v>
      </c>
      <c r="I16" s="70">
        <f t="shared" si="9"/>
        <v>17.600000000000001</v>
      </c>
      <c r="J16" s="70">
        <f t="shared" si="10"/>
        <v>85.73333333333332</v>
      </c>
      <c r="K16" s="70">
        <f t="shared" si="11"/>
        <v>945.33333333333371</v>
      </c>
    </row>
    <row r="17" spans="5:11">
      <c r="E17" s="69">
        <v>15</v>
      </c>
      <c r="F17" s="69">
        <f t="shared" si="6"/>
        <v>10</v>
      </c>
      <c r="G17" s="70">
        <f t="shared" si="7"/>
        <v>945.33333333333371</v>
      </c>
      <c r="H17" s="70">
        <f t="shared" si="8"/>
        <v>103.33333333333333</v>
      </c>
      <c r="I17" s="70">
        <f t="shared" si="9"/>
        <v>16</v>
      </c>
      <c r="J17" s="70">
        <f t="shared" si="10"/>
        <v>87.333333333333329</v>
      </c>
      <c r="K17" s="70">
        <f t="shared" si="11"/>
        <v>858.00000000000034</v>
      </c>
    </row>
    <row r="18" spans="5:11">
      <c r="E18" s="69">
        <v>16</v>
      </c>
      <c r="F18" s="69">
        <f t="shared" si="6"/>
        <v>9</v>
      </c>
      <c r="G18" s="70">
        <f t="shared" si="7"/>
        <v>858.00000000000034</v>
      </c>
      <c r="H18" s="70">
        <f t="shared" si="8"/>
        <v>103.33333333333333</v>
      </c>
      <c r="I18" s="70">
        <f t="shared" si="9"/>
        <v>14.4</v>
      </c>
      <c r="J18" s="70">
        <f t="shared" si="10"/>
        <v>88.933333333333323</v>
      </c>
      <c r="K18" s="70">
        <f t="shared" si="11"/>
        <v>769.06666666666706</v>
      </c>
    </row>
    <row r="19" spans="5:11">
      <c r="E19" s="69">
        <v>17</v>
      </c>
      <c r="F19" s="69">
        <f t="shared" si="6"/>
        <v>8</v>
      </c>
      <c r="G19" s="70">
        <f t="shared" si="7"/>
        <v>769.06666666666706</v>
      </c>
      <c r="H19" s="70">
        <f t="shared" si="8"/>
        <v>103.33333333333333</v>
      </c>
      <c r="I19" s="70">
        <f t="shared" si="9"/>
        <v>12.8</v>
      </c>
      <c r="J19" s="70">
        <f t="shared" si="10"/>
        <v>90.533333333333331</v>
      </c>
      <c r="K19" s="70">
        <f t="shared" si="11"/>
        <v>678.53333333333376</v>
      </c>
    </row>
    <row r="20" spans="5:11">
      <c r="E20" s="69">
        <v>18</v>
      </c>
      <c r="F20" s="69">
        <f t="shared" si="6"/>
        <v>7</v>
      </c>
      <c r="G20" s="70">
        <f t="shared" si="7"/>
        <v>678.53333333333376</v>
      </c>
      <c r="H20" s="70">
        <f t="shared" si="8"/>
        <v>103.33333333333333</v>
      </c>
      <c r="I20" s="70">
        <f t="shared" si="9"/>
        <v>11.200000000000001</v>
      </c>
      <c r="J20" s="70">
        <f t="shared" si="10"/>
        <v>92.133333333333326</v>
      </c>
      <c r="K20" s="70">
        <f t="shared" si="11"/>
        <v>586.40000000000043</v>
      </c>
    </row>
    <row r="21" spans="5:11">
      <c r="E21" s="69">
        <v>19</v>
      </c>
      <c r="F21" s="69">
        <f t="shared" si="6"/>
        <v>6</v>
      </c>
      <c r="G21" s="70">
        <f t="shared" si="7"/>
        <v>586.40000000000043</v>
      </c>
      <c r="H21" s="70">
        <f t="shared" si="8"/>
        <v>103.33333333333333</v>
      </c>
      <c r="I21" s="70">
        <f t="shared" si="9"/>
        <v>9.6000000000000014</v>
      </c>
      <c r="J21" s="70">
        <f t="shared" si="10"/>
        <v>93.73333333333332</v>
      </c>
      <c r="K21" s="70">
        <f t="shared" si="11"/>
        <v>492.66666666666708</v>
      </c>
    </row>
    <row r="22" spans="5:11">
      <c r="E22" s="71">
        <v>20</v>
      </c>
      <c r="F22" s="71">
        <f t="shared" si="6"/>
        <v>5</v>
      </c>
      <c r="G22" s="72">
        <f t="shared" si="7"/>
        <v>492.66666666666708</v>
      </c>
      <c r="H22" s="72">
        <f t="shared" si="8"/>
        <v>103.33333333333333</v>
      </c>
      <c r="I22" s="72">
        <f t="shared" si="9"/>
        <v>8</v>
      </c>
      <c r="J22" s="72">
        <f t="shared" si="10"/>
        <v>95.333333333333329</v>
      </c>
      <c r="K22" s="72">
        <f t="shared" si="11"/>
        <v>397.33333333333377</v>
      </c>
    </row>
    <row r="23" spans="5:11">
      <c r="E23" s="71">
        <v>21</v>
      </c>
      <c r="F23" s="71">
        <f>F22-1</f>
        <v>4</v>
      </c>
      <c r="G23" s="72">
        <f>K22</f>
        <v>397.33333333333377</v>
      </c>
      <c r="H23" s="72">
        <f>$B$7</f>
        <v>103.33333333333333</v>
      </c>
      <c r="I23" s="72">
        <f>F23*$B$9</f>
        <v>6.4</v>
      </c>
      <c r="J23" s="72">
        <f>H23-I23</f>
        <v>96.933333333333323</v>
      </c>
      <c r="K23" s="72">
        <f>G23-J23</f>
        <v>300.40000000000043</v>
      </c>
    </row>
    <row r="24" spans="5:11">
      <c r="E24" s="71">
        <v>22</v>
      </c>
      <c r="F24" s="71">
        <f>F23-1</f>
        <v>3</v>
      </c>
      <c r="G24" s="72">
        <f>K23</f>
        <v>300.40000000000043</v>
      </c>
      <c r="H24" s="72">
        <f>$B$7</f>
        <v>103.33333333333333</v>
      </c>
      <c r="I24" s="72">
        <f>F24*$B$9</f>
        <v>4.8000000000000007</v>
      </c>
      <c r="J24" s="72">
        <f>H24-I24</f>
        <v>98.533333333333331</v>
      </c>
      <c r="K24" s="72">
        <f>G24-J24</f>
        <v>201.8666666666671</v>
      </c>
    </row>
    <row r="25" spans="5:11">
      <c r="E25" s="71">
        <v>23</v>
      </c>
      <c r="F25" s="71">
        <f>F24-1</f>
        <v>2</v>
      </c>
      <c r="G25" s="72">
        <f>K24</f>
        <v>201.8666666666671</v>
      </c>
      <c r="H25" s="72">
        <f>$B$7</f>
        <v>103.33333333333333</v>
      </c>
      <c r="I25" s="72">
        <f>F25*$B$9</f>
        <v>3.2</v>
      </c>
      <c r="J25" s="72">
        <f>H25-I25</f>
        <v>100.13333333333333</v>
      </c>
      <c r="K25" s="72">
        <f>G25-J25</f>
        <v>101.73333333333377</v>
      </c>
    </row>
    <row r="26" spans="5:11">
      <c r="E26" s="71">
        <v>24</v>
      </c>
      <c r="F26" s="71">
        <f>F25-1</f>
        <v>1</v>
      </c>
      <c r="G26" s="72">
        <f>K25</f>
        <v>101.73333333333377</v>
      </c>
      <c r="H26" s="72">
        <f>$B$7</f>
        <v>103.33333333333333</v>
      </c>
      <c r="I26" s="72">
        <f>F26*$B$9</f>
        <v>1.6</v>
      </c>
      <c r="J26" s="72">
        <f>H26-I26</f>
        <v>101.73333333333333</v>
      </c>
      <c r="K26" s="72">
        <f>G26-J26</f>
        <v>4.4053649617126212E-13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zoomScale="87" workbookViewId="0">
      <selection activeCell="G3" sqref="G3"/>
    </sheetView>
  </sheetViews>
  <sheetFormatPr defaultRowHeight="14.25"/>
  <cols>
    <col min="1" max="1" width="16.25" bestFit="1" customWidth="1"/>
    <col min="2" max="2" width="13.375" bestFit="1" customWidth="1"/>
    <col min="4" max="4" width="10.5" customWidth="1"/>
    <col min="5" max="5" width="18" style="52" bestFit="1" customWidth="1"/>
    <col min="6" max="6" width="20.125" bestFit="1" customWidth="1"/>
    <col min="7" max="8" width="15.25" style="65" bestFit="1" customWidth="1"/>
    <col min="9" max="9" width="17.375" style="52" bestFit="1" customWidth="1"/>
  </cols>
  <sheetData>
    <row r="1" spans="1:9">
      <c r="A1" t="s">
        <v>59</v>
      </c>
      <c r="B1" t="s">
        <v>60</v>
      </c>
      <c r="D1" t="s">
        <v>57</v>
      </c>
      <c r="E1" s="52" t="s">
        <v>52</v>
      </c>
      <c r="F1" t="s">
        <v>68</v>
      </c>
      <c r="G1" s="65" t="s">
        <v>53</v>
      </c>
      <c r="H1" s="65" t="s">
        <v>55</v>
      </c>
      <c r="I1" s="52" t="s">
        <v>56</v>
      </c>
    </row>
    <row r="2" spans="1:9">
      <c r="A2" t="s">
        <v>61</v>
      </c>
      <c r="B2" s="52">
        <v>50000</v>
      </c>
      <c r="D2">
        <v>0</v>
      </c>
      <c r="F2" s="1"/>
      <c r="G2" s="65">
        <f>(6%/12)*Table21[[#This Row],[opening balance]]</f>
        <v>0</v>
      </c>
      <c r="H2" s="65">
        <f>Table21[[#This Row],[monhly installment]]-Table21[[#This Row],[interest]]</f>
        <v>0</v>
      </c>
      <c r="I2" s="52">
        <v>50000</v>
      </c>
    </row>
    <row r="3" spans="1:9">
      <c r="A3" t="s">
        <v>62</v>
      </c>
      <c r="B3" s="73">
        <v>0.06</v>
      </c>
      <c r="D3">
        <v>1</v>
      </c>
      <c r="E3" s="52">
        <f t="shared" ref="E3:E15" si="0">I2</f>
        <v>50000</v>
      </c>
      <c r="F3" s="1">
        <f t="shared" ref="F3:F15" si="1">$B$6</f>
        <v>555.10250970824723</v>
      </c>
      <c r="G3" s="65">
        <f>(6%/12)*Table21[[#This Row],[opening balance]]</f>
        <v>250</v>
      </c>
      <c r="H3" s="65">
        <f>Table21[[#This Row],[monhly installment]]-Table21[[#This Row],[interest]]</f>
        <v>305.10250970824723</v>
      </c>
      <c r="I3" s="52">
        <f>Table21[[#This Row],[opening balance]]-Table21[[#This Row],[principal paid]]</f>
        <v>49694.897490291754</v>
      </c>
    </row>
    <row r="4" spans="1:9">
      <c r="A4" t="s">
        <v>66</v>
      </c>
      <c r="B4">
        <v>10</v>
      </c>
      <c r="D4">
        <f>D3+1</f>
        <v>2</v>
      </c>
      <c r="E4" s="52">
        <f t="shared" si="0"/>
        <v>49694.897490291754</v>
      </c>
      <c r="F4" s="1">
        <f t="shared" si="1"/>
        <v>555.10250970824723</v>
      </c>
      <c r="G4" s="65">
        <f>(6%/12)*Table21[[#This Row],[opening balance]]</f>
        <v>248.47448745145877</v>
      </c>
      <c r="H4" s="65">
        <f>Table21[[#This Row],[monhly installment]]-Table21[[#This Row],[interest]]</f>
        <v>306.62802225678843</v>
      </c>
      <c r="I4" s="52">
        <f>Table21[[#This Row],[opening balance]]-Table21[[#This Row],[principal paid]]</f>
        <v>49388.269468034967</v>
      </c>
    </row>
    <row r="5" spans="1:9">
      <c r="A5" t="s">
        <v>67</v>
      </c>
      <c r="B5">
        <f>B4*12</f>
        <v>120</v>
      </c>
      <c r="D5">
        <f t="shared" ref="D5:D68" si="2">D4+1</f>
        <v>3</v>
      </c>
      <c r="E5" s="52">
        <f t="shared" si="0"/>
        <v>49388.269468034967</v>
      </c>
      <c r="F5" s="1">
        <f t="shared" si="1"/>
        <v>555.10250970824723</v>
      </c>
      <c r="G5" s="65">
        <f>(6%/12)*Table21[[#This Row],[opening balance]]</f>
        <v>246.94134734017484</v>
      </c>
      <c r="H5" s="65">
        <f>Table21[[#This Row],[monhly installment]]-Table21[[#This Row],[interest]]</f>
        <v>308.16116236807238</v>
      </c>
      <c r="I5" s="52">
        <f>Table21[[#This Row],[opening balance]]-Table21[[#This Row],[principal paid]]</f>
        <v>49080.108305666894</v>
      </c>
    </row>
    <row r="6" spans="1:9">
      <c r="A6" t="s">
        <v>63</v>
      </c>
      <c r="B6" s="1">
        <f>PMT(B3/12,B5,-B2)</f>
        <v>555.10250970824723</v>
      </c>
      <c r="D6">
        <f t="shared" si="2"/>
        <v>4</v>
      </c>
      <c r="E6" s="52">
        <f t="shared" si="0"/>
        <v>49080.108305666894</v>
      </c>
      <c r="F6" s="1">
        <f t="shared" si="1"/>
        <v>555.10250970824723</v>
      </c>
      <c r="G6" s="65">
        <f>(6%/12)*Table21[[#This Row],[opening balance]]</f>
        <v>245.40054152833449</v>
      </c>
      <c r="H6" s="65">
        <f>Table21[[#This Row],[monhly installment]]-Table21[[#This Row],[interest]]</f>
        <v>309.70196817991274</v>
      </c>
      <c r="I6" s="52">
        <f>Table21[[#This Row],[opening balance]]-Table21[[#This Row],[principal paid]]</f>
        <v>48770.40633748698</v>
      </c>
    </row>
    <row r="7" spans="1:9">
      <c r="A7" t="s">
        <v>65</v>
      </c>
      <c r="B7" s="1">
        <f>PV(B3/12,120-36,-B6) - 5000</f>
        <v>32998.455653126977</v>
      </c>
      <c r="D7">
        <f t="shared" si="2"/>
        <v>5</v>
      </c>
      <c r="E7" s="52">
        <f t="shared" si="0"/>
        <v>48770.40633748698</v>
      </c>
      <c r="F7" s="1">
        <f t="shared" si="1"/>
        <v>555.10250970824723</v>
      </c>
      <c r="G7" s="65">
        <f>(6%/12)*Table21[[#This Row],[opening balance]]</f>
        <v>243.8520316874349</v>
      </c>
      <c r="H7" s="65">
        <f>Table21[[#This Row],[monhly installment]]-Table21[[#This Row],[interest]]</f>
        <v>311.25047802081235</v>
      </c>
      <c r="I7" s="52">
        <f>Table21[[#This Row],[opening balance]]-Table21[[#This Row],[principal paid]]</f>
        <v>48459.155859466169</v>
      </c>
    </row>
    <row r="8" spans="1:9">
      <c r="A8" t="s">
        <v>64</v>
      </c>
      <c r="B8">
        <f>NPER(B3/12,-B6,B7)</f>
        <v>70.720906116887392</v>
      </c>
      <c r="D8">
        <f t="shared" si="2"/>
        <v>6</v>
      </c>
      <c r="E8" s="52">
        <f t="shared" si="0"/>
        <v>48459.155859466169</v>
      </c>
      <c r="F8" s="1">
        <f t="shared" si="1"/>
        <v>555.10250970824723</v>
      </c>
      <c r="G8" s="65">
        <f>(6%/12)*Table21[[#This Row],[opening balance]]</f>
        <v>242.29577929733085</v>
      </c>
      <c r="H8" s="65">
        <f>Table21[[#This Row],[monhly installment]]-Table21[[#This Row],[interest]]</f>
        <v>312.80673041091637</v>
      </c>
      <c r="I8" s="52">
        <f>Table21[[#This Row],[opening balance]]-Table21[[#This Row],[principal paid]]</f>
        <v>48146.349129055256</v>
      </c>
    </row>
    <row r="9" spans="1:9">
      <c r="A9" t="s">
        <v>69</v>
      </c>
      <c r="B9">
        <f>B5-36-B8</f>
        <v>13.279093883112608</v>
      </c>
      <c r="D9">
        <f t="shared" si="2"/>
        <v>7</v>
      </c>
      <c r="E9" s="52">
        <f t="shared" si="0"/>
        <v>48146.349129055256</v>
      </c>
      <c r="F9" s="1">
        <f t="shared" si="1"/>
        <v>555.10250970824723</v>
      </c>
      <c r="G9" s="65">
        <f>(6%/12)*Table21[[#This Row],[opening balance]]</f>
        <v>240.73174564527628</v>
      </c>
      <c r="H9" s="65">
        <f>Table21[[#This Row],[monhly installment]]-Table21[[#This Row],[interest]]</f>
        <v>314.37076406297092</v>
      </c>
      <c r="I9" s="52">
        <f>Table21[[#This Row],[opening balance]]-Table21[[#This Row],[principal paid]]</f>
        <v>47831.978364992283</v>
      </c>
    </row>
    <row r="10" spans="1:9">
      <c r="D10">
        <f t="shared" si="2"/>
        <v>8</v>
      </c>
      <c r="E10" s="52">
        <f t="shared" si="0"/>
        <v>47831.978364992283</v>
      </c>
      <c r="F10" s="1">
        <f t="shared" si="1"/>
        <v>555.10250970824723</v>
      </c>
      <c r="G10" s="65">
        <f>(6%/12)*Table21[[#This Row],[opening balance]]</f>
        <v>239.15989182496142</v>
      </c>
      <c r="H10" s="65">
        <f>Table21[[#This Row],[monhly installment]]-Table21[[#This Row],[interest]]</f>
        <v>315.94261788328583</v>
      </c>
      <c r="I10" s="52">
        <f>Table21[[#This Row],[opening balance]]-Table21[[#This Row],[principal paid]]</f>
        <v>47516.035747108996</v>
      </c>
    </row>
    <row r="11" spans="1:9">
      <c r="D11">
        <f t="shared" si="2"/>
        <v>9</v>
      </c>
      <c r="E11" s="52">
        <f t="shared" si="0"/>
        <v>47516.035747108996</v>
      </c>
      <c r="F11" s="1">
        <f t="shared" si="1"/>
        <v>555.10250970824723</v>
      </c>
      <c r="G11" s="65">
        <f>(6%/12)*Table21[[#This Row],[opening balance]]</f>
        <v>237.58017873554499</v>
      </c>
      <c r="H11" s="65">
        <f>Table21[[#This Row],[monhly installment]]-Table21[[#This Row],[interest]]</f>
        <v>317.52233097270221</v>
      </c>
      <c r="I11" s="52">
        <f>Table21[[#This Row],[opening balance]]-Table21[[#This Row],[principal paid]]</f>
        <v>47198.513416136295</v>
      </c>
    </row>
    <row r="12" spans="1:9">
      <c r="D12">
        <f t="shared" si="2"/>
        <v>10</v>
      </c>
      <c r="E12" s="52">
        <f t="shared" si="0"/>
        <v>47198.513416136295</v>
      </c>
      <c r="F12" s="1">
        <f t="shared" si="1"/>
        <v>555.10250970824723</v>
      </c>
      <c r="G12" s="65">
        <f>(6%/12)*Table21[[#This Row],[opening balance]]</f>
        <v>235.99256708068148</v>
      </c>
      <c r="H12" s="65">
        <f>Table21[[#This Row],[monhly installment]]-Table21[[#This Row],[interest]]</f>
        <v>319.10994262756572</v>
      </c>
      <c r="I12" s="52">
        <f>Table21[[#This Row],[opening balance]]-Table21[[#This Row],[principal paid]]</f>
        <v>46879.403473508726</v>
      </c>
    </row>
    <row r="13" spans="1:9">
      <c r="D13">
        <f t="shared" si="2"/>
        <v>11</v>
      </c>
      <c r="E13" s="52">
        <f t="shared" si="0"/>
        <v>46879.403473508726</v>
      </c>
      <c r="F13" s="1">
        <f t="shared" si="1"/>
        <v>555.10250970824723</v>
      </c>
      <c r="G13" s="65">
        <f>(6%/12)*Table21[[#This Row],[opening balance]]</f>
        <v>234.39701736754364</v>
      </c>
      <c r="H13" s="65">
        <f>Table21[[#This Row],[monhly installment]]-Table21[[#This Row],[interest]]</f>
        <v>320.70549234070359</v>
      </c>
      <c r="I13" s="52">
        <f>Table21[[#This Row],[opening balance]]-Table21[[#This Row],[principal paid]]</f>
        <v>46558.697981168021</v>
      </c>
    </row>
    <row r="14" spans="1:9">
      <c r="D14">
        <f t="shared" si="2"/>
        <v>12</v>
      </c>
      <c r="E14" s="52">
        <f t="shared" si="0"/>
        <v>46558.697981168021</v>
      </c>
      <c r="F14" s="1">
        <f t="shared" si="1"/>
        <v>555.10250970824723</v>
      </c>
      <c r="G14" s="65">
        <f>(6%/12)*Table21[[#This Row],[opening balance]]</f>
        <v>232.79348990584012</v>
      </c>
      <c r="H14" s="65">
        <f>Table21[[#This Row],[monhly installment]]-Table21[[#This Row],[interest]]</f>
        <v>322.30901980240708</v>
      </c>
      <c r="I14" s="52">
        <f>Table21[[#This Row],[opening balance]]-Table21[[#This Row],[principal paid]]</f>
        <v>46236.388961365614</v>
      </c>
    </row>
    <row r="15" spans="1:9">
      <c r="D15">
        <f t="shared" si="2"/>
        <v>13</v>
      </c>
      <c r="E15" s="52">
        <f t="shared" si="0"/>
        <v>46236.388961365614</v>
      </c>
      <c r="F15" s="1">
        <f t="shared" si="1"/>
        <v>555.10250970824723</v>
      </c>
      <c r="G15" s="65">
        <f>(6%/12)*Table21[[#This Row],[opening balance]]</f>
        <v>231.18194480682808</v>
      </c>
      <c r="H15" s="65">
        <f>Table21[[#This Row],[monhly installment]]-Table21[[#This Row],[interest]]</f>
        <v>323.92056490141914</v>
      </c>
      <c r="I15" s="52">
        <f>Table21[[#This Row],[opening balance]]-Table21[[#This Row],[principal paid]]</f>
        <v>45912.468396464195</v>
      </c>
    </row>
    <row r="16" spans="1:9">
      <c r="D16">
        <f t="shared" si="2"/>
        <v>14</v>
      </c>
      <c r="E16" s="52">
        <f t="shared" ref="E16:E45" si="3">I15</f>
        <v>45912.468396464195</v>
      </c>
      <c r="F16" s="1">
        <f t="shared" ref="F16:F45" si="4">$B$6</f>
        <v>555.10250970824723</v>
      </c>
      <c r="G16" s="65">
        <f>(6%/12)*Table21[[#This Row],[opening balance]]</f>
        <v>229.56234198232099</v>
      </c>
      <c r="H16" s="65">
        <f>Table21[[#This Row],[monhly installment]]-Table21[[#This Row],[interest]]</f>
        <v>325.54016772592627</v>
      </c>
      <c r="I16" s="52">
        <f>Table21[[#This Row],[opening balance]]-Table21[[#This Row],[principal paid]]</f>
        <v>45586.928228738267</v>
      </c>
    </row>
    <row r="17" spans="4:9">
      <c r="D17">
        <f t="shared" si="2"/>
        <v>15</v>
      </c>
      <c r="E17" s="52">
        <f t="shared" si="3"/>
        <v>45586.928228738267</v>
      </c>
      <c r="F17" s="1">
        <f t="shared" si="4"/>
        <v>555.10250970824723</v>
      </c>
      <c r="G17" s="65">
        <f>(6%/12)*Table21[[#This Row],[opening balance]]</f>
        <v>227.93464114369135</v>
      </c>
      <c r="H17" s="65">
        <f>Table21[[#This Row],[monhly installment]]-Table21[[#This Row],[interest]]</f>
        <v>327.16786856455587</v>
      </c>
      <c r="I17" s="52">
        <f>Table21[[#This Row],[opening balance]]-Table21[[#This Row],[principal paid]]</f>
        <v>45259.760360173714</v>
      </c>
    </row>
    <row r="18" spans="4:9">
      <c r="D18">
        <f t="shared" si="2"/>
        <v>16</v>
      </c>
      <c r="E18" s="52">
        <f t="shared" si="3"/>
        <v>45259.760360173714</v>
      </c>
      <c r="F18" s="1">
        <f t="shared" si="4"/>
        <v>555.10250970824723</v>
      </c>
      <c r="G18" s="65">
        <f>(6%/12)*Table21[[#This Row],[opening balance]]</f>
        <v>226.29880180086857</v>
      </c>
      <c r="H18" s="65">
        <f>Table21[[#This Row],[monhly installment]]-Table21[[#This Row],[interest]]</f>
        <v>328.80370790737868</v>
      </c>
      <c r="I18" s="52">
        <f>Table21[[#This Row],[opening balance]]-Table21[[#This Row],[principal paid]]</f>
        <v>44930.956652266337</v>
      </c>
    </row>
    <row r="19" spans="4:9">
      <c r="D19">
        <f t="shared" si="2"/>
        <v>17</v>
      </c>
      <c r="E19" s="52">
        <f t="shared" si="3"/>
        <v>44930.956652266337</v>
      </c>
      <c r="F19" s="1">
        <f t="shared" si="4"/>
        <v>555.10250970824723</v>
      </c>
      <c r="G19" s="65">
        <f>(6%/12)*Table21[[#This Row],[opening balance]]</f>
        <v>224.65478326133169</v>
      </c>
      <c r="H19" s="65">
        <f>Table21[[#This Row],[monhly installment]]-Table21[[#This Row],[interest]]</f>
        <v>330.44772644691557</v>
      </c>
      <c r="I19" s="52">
        <f>Table21[[#This Row],[opening balance]]-Table21[[#This Row],[principal paid]]</f>
        <v>44600.50892581942</v>
      </c>
    </row>
    <row r="20" spans="4:9">
      <c r="D20">
        <f t="shared" si="2"/>
        <v>18</v>
      </c>
      <c r="E20" s="52">
        <f t="shared" si="3"/>
        <v>44600.50892581942</v>
      </c>
      <c r="F20" s="1">
        <f t="shared" si="4"/>
        <v>555.10250970824723</v>
      </c>
      <c r="G20" s="65">
        <f>(6%/12)*Table21[[#This Row],[opening balance]]</f>
        <v>223.00254462909712</v>
      </c>
      <c r="H20" s="65">
        <f>Table21[[#This Row],[monhly installment]]-Table21[[#This Row],[interest]]</f>
        <v>332.09996507915014</v>
      </c>
      <c r="I20" s="52">
        <f>Table21[[#This Row],[opening balance]]-Table21[[#This Row],[principal paid]]</f>
        <v>44268.408960740271</v>
      </c>
    </row>
    <row r="21" spans="4:9">
      <c r="D21">
        <f t="shared" si="2"/>
        <v>19</v>
      </c>
      <c r="E21" s="52">
        <f t="shared" si="3"/>
        <v>44268.408960740271</v>
      </c>
      <c r="F21" s="1">
        <f t="shared" si="4"/>
        <v>555.10250970824723</v>
      </c>
      <c r="G21" s="65">
        <f>(6%/12)*Table21[[#This Row],[opening balance]]</f>
        <v>221.34204480370136</v>
      </c>
      <c r="H21" s="65">
        <f>Table21[[#This Row],[monhly installment]]-Table21[[#This Row],[interest]]</f>
        <v>333.76046490454587</v>
      </c>
      <c r="I21" s="52">
        <f>Table21[[#This Row],[opening balance]]-Table21[[#This Row],[principal paid]]</f>
        <v>43934.648495835725</v>
      </c>
    </row>
    <row r="22" spans="4:9">
      <c r="D22">
        <f t="shared" si="2"/>
        <v>20</v>
      </c>
      <c r="E22" s="52">
        <f t="shared" si="3"/>
        <v>43934.648495835725</v>
      </c>
      <c r="F22" s="1">
        <f t="shared" si="4"/>
        <v>555.10250970824723</v>
      </c>
      <c r="G22" s="65">
        <f>(6%/12)*Table21[[#This Row],[opening balance]]</f>
        <v>219.67324247917864</v>
      </c>
      <c r="H22" s="65">
        <f>Table21[[#This Row],[monhly installment]]-Table21[[#This Row],[interest]]</f>
        <v>335.42926722906861</v>
      </c>
      <c r="I22" s="52">
        <f>Table21[[#This Row],[opening balance]]-Table21[[#This Row],[principal paid]]</f>
        <v>43599.219228606657</v>
      </c>
    </row>
    <row r="23" spans="4:9">
      <c r="D23">
        <f t="shared" si="2"/>
        <v>21</v>
      </c>
      <c r="E23" s="52">
        <f t="shared" si="3"/>
        <v>43599.219228606657</v>
      </c>
      <c r="F23" s="1">
        <f t="shared" si="4"/>
        <v>555.10250970824723</v>
      </c>
      <c r="G23" s="65">
        <f>(6%/12)*Table21[[#This Row],[opening balance]]</f>
        <v>217.9960961430333</v>
      </c>
      <c r="H23" s="65">
        <f>Table21[[#This Row],[monhly installment]]-Table21[[#This Row],[interest]]</f>
        <v>337.10641356521393</v>
      </c>
      <c r="I23" s="52">
        <f>Table21[[#This Row],[opening balance]]-Table21[[#This Row],[principal paid]]</f>
        <v>43262.112815041444</v>
      </c>
    </row>
    <row r="24" spans="4:9">
      <c r="D24">
        <f t="shared" si="2"/>
        <v>22</v>
      </c>
      <c r="E24" s="52">
        <f t="shared" si="3"/>
        <v>43262.112815041444</v>
      </c>
      <c r="F24" s="1">
        <f t="shared" si="4"/>
        <v>555.10250970824723</v>
      </c>
      <c r="G24" s="65">
        <f>(6%/12)*Table21[[#This Row],[opening balance]]</f>
        <v>216.31056407520722</v>
      </c>
      <c r="H24" s="65">
        <f>Table21[[#This Row],[monhly installment]]-Table21[[#This Row],[interest]]</f>
        <v>338.79194563303997</v>
      </c>
      <c r="I24" s="52">
        <f>Table21[[#This Row],[opening balance]]-Table21[[#This Row],[principal paid]]</f>
        <v>42923.320869408402</v>
      </c>
    </row>
    <row r="25" spans="4:9">
      <c r="D25">
        <f t="shared" si="2"/>
        <v>23</v>
      </c>
      <c r="E25" s="52">
        <f t="shared" si="3"/>
        <v>42923.320869408402</v>
      </c>
      <c r="F25" s="1">
        <f t="shared" si="4"/>
        <v>555.10250970824723</v>
      </c>
      <c r="G25" s="65">
        <f>(6%/12)*Table21[[#This Row],[opening balance]]</f>
        <v>214.61660434704203</v>
      </c>
      <c r="H25" s="65">
        <f>Table21[[#This Row],[monhly installment]]-Table21[[#This Row],[interest]]</f>
        <v>340.4859053612052</v>
      </c>
      <c r="I25" s="52">
        <f>Table21[[#This Row],[opening balance]]-Table21[[#This Row],[principal paid]]</f>
        <v>42582.834964047201</v>
      </c>
    </row>
    <row r="26" spans="4:9">
      <c r="D26">
        <f t="shared" si="2"/>
        <v>24</v>
      </c>
      <c r="E26" s="52">
        <f t="shared" si="3"/>
        <v>42582.834964047201</v>
      </c>
      <c r="F26" s="1">
        <f t="shared" si="4"/>
        <v>555.10250970824723</v>
      </c>
      <c r="G26" s="65">
        <f>(6%/12)*Table21[[#This Row],[opening balance]]</f>
        <v>212.91417482023601</v>
      </c>
      <c r="H26" s="65">
        <f>Table21[[#This Row],[monhly installment]]-Table21[[#This Row],[interest]]</f>
        <v>342.18833488801124</v>
      </c>
      <c r="I26" s="52">
        <f>Table21[[#This Row],[opening balance]]-Table21[[#This Row],[principal paid]]</f>
        <v>42240.646629159186</v>
      </c>
    </row>
    <row r="27" spans="4:9">
      <c r="D27">
        <f t="shared" si="2"/>
        <v>25</v>
      </c>
      <c r="E27" s="52">
        <f t="shared" si="3"/>
        <v>42240.646629159186</v>
      </c>
      <c r="F27" s="1">
        <f t="shared" si="4"/>
        <v>555.10250970824723</v>
      </c>
      <c r="G27" s="65">
        <f>(6%/12)*Table21[[#This Row],[opening balance]]</f>
        <v>211.20323314579593</v>
      </c>
      <c r="H27" s="65">
        <f>Table21[[#This Row],[monhly installment]]-Table21[[#This Row],[interest]]</f>
        <v>343.89927656245129</v>
      </c>
      <c r="I27" s="52">
        <f>Table21[[#This Row],[opening balance]]-Table21[[#This Row],[principal paid]]</f>
        <v>41896.747352596736</v>
      </c>
    </row>
    <row r="28" spans="4:9">
      <c r="D28">
        <f t="shared" si="2"/>
        <v>26</v>
      </c>
      <c r="E28" s="52">
        <f t="shared" si="3"/>
        <v>41896.747352596736</v>
      </c>
      <c r="F28" s="1">
        <f t="shared" si="4"/>
        <v>555.10250970824723</v>
      </c>
      <c r="G28" s="65">
        <f>(6%/12)*Table21[[#This Row],[opening balance]]</f>
        <v>209.48373676298368</v>
      </c>
      <c r="H28" s="65">
        <f>Table21[[#This Row],[monhly installment]]-Table21[[#This Row],[interest]]</f>
        <v>345.61877294526357</v>
      </c>
      <c r="I28" s="52">
        <f>Table21[[#This Row],[opening balance]]-Table21[[#This Row],[principal paid]]</f>
        <v>41551.128579651471</v>
      </c>
    </row>
    <row r="29" spans="4:9">
      <c r="D29">
        <f t="shared" si="2"/>
        <v>27</v>
      </c>
      <c r="E29" s="52">
        <f t="shared" si="3"/>
        <v>41551.128579651471</v>
      </c>
      <c r="F29" s="1">
        <f t="shared" si="4"/>
        <v>555.10250970824723</v>
      </c>
      <c r="G29" s="65">
        <f>(6%/12)*Table21[[#This Row],[opening balance]]</f>
        <v>207.75564289825735</v>
      </c>
      <c r="H29" s="65">
        <f>Table21[[#This Row],[monhly installment]]-Table21[[#This Row],[interest]]</f>
        <v>347.34686680998988</v>
      </c>
      <c r="I29" s="52">
        <f>Table21[[#This Row],[opening balance]]-Table21[[#This Row],[principal paid]]</f>
        <v>41203.781712841483</v>
      </c>
    </row>
    <row r="30" spans="4:9">
      <c r="D30">
        <f t="shared" si="2"/>
        <v>28</v>
      </c>
      <c r="E30" s="52">
        <f t="shared" si="3"/>
        <v>41203.781712841483</v>
      </c>
      <c r="F30" s="1">
        <f t="shared" si="4"/>
        <v>555.10250970824723</v>
      </c>
      <c r="G30" s="65">
        <f>(6%/12)*Table21[[#This Row],[opening balance]]</f>
        <v>206.01890856420741</v>
      </c>
      <c r="H30" s="65">
        <f>Table21[[#This Row],[monhly installment]]-Table21[[#This Row],[interest]]</f>
        <v>349.08360114403979</v>
      </c>
      <c r="I30" s="52">
        <f>Table21[[#This Row],[opening balance]]-Table21[[#This Row],[principal paid]]</f>
        <v>40854.698111697442</v>
      </c>
    </row>
    <row r="31" spans="4:9">
      <c r="D31">
        <f t="shared" si="2"/>
        <v>29</v>
      </c>
      <c r="E31" s="52">
        <f t="shared" si="3"/>
        <v>40854.698111697442</v>
      </c>
      <c r="F31" s="1">
        <f t="shared" si="4"/>
        <v>555.10250970824723</v>
      </c>
      <c r="G31" s="65">
        <f>(6%/12)*Table21[[#This Row],[opening balance]]</f>
        <v>204.27349055848723</v>
      </c>
      <c r="H31" s="65">
        <f>Table21[[#This Row],[monhly installment]]-Table21[[#This Row],[interest]]</f>
        <v>350.82901914976003</v>
      </c>
      <c r="I31" s="52">
        <f>Table21[[#This Row],[opening balance]]-Table21[[#This Row],[principal paid]]</f>
        <v>40503.869092547684</v>
      </c>
    </row>
    <row r="32" spans="4:9">
      <c r="D32">
        <f t="shared" si="2"/>
        <v>30</v>
      </c>
      <c r="E32" s="52">
        <f t="shared" si="3"/>
        <v>40503.869092547684</v>
      </c>
      <c r="F32" s="1">
        <f t="shared" si="4"/>
        <v>555.10250970824723</v>
      </c>
      <c r="G32" s="65">
        <f>(6%/12)*Table21[[#This Row],[opening balance]]</f>
        <v>202.51934546273841</v>
      </c>
      <c r="H32" s="65">
        <f>Table21[[#This Row],[monhly installment]]-Table21[[#This Row],[interest]]</f>
        <v>352.58316424550878</v>
      </c>
      <c r="I32" s="52">
        <f>Table21[[#This Row],[opening balance]]-Table21[[#This Row],[principal paid]]</f>
        <v>40151.285928302175</v>
      </c>
    </row>
    <row r="33" spans="4:9">
      <c r="D33">
        <f t="shared" si="2"/>
        <v>31</v>
      </c>
      <c r="E33" s="52">
        <f t="shared" si="3"/>
        <v>40151.285928302175</v>
      </c>
      <c r="F33" s="1">
        <f t="shared" si="4"/>
        <v>555.10250970824723</v>
      </c>
      <c r="G33" s="65">
        <f>(6%/12)*Table21[[#This Row],[opening balance]]</f>
        <v>200.75642964151089</v>
      </c>
      <c r="H33" s="65">
        <f>Table21[[#This Row],[monhly installment]]-Table21[[#This Row],[interest]]</f>
        <v>354.34608006673636</v>
      </c>
      <c r="I33" s="52">
        <f>Table21[[#This Row],[opening balance]]-Table21[[#This Row],[principal paid]]</f>
        <v>39796.939848235437</v>
      </c>
    </row>
    <row r="34" spans="4:9">
      <c r="D34">
        <f t="shared" si="2"/>
        <v>32</v>
      </c>
      <c r="E34" s="52">
        <f t="shared" si="3"/>
        <v>39796.939848235437</v>
      </c>
      <c r="F34" s="1">
        <f t="shared" si="4"/>
        <v>555.10250970824723</v>
      </c>
      <c r="G34" s="65">
        <f>(6%/12)*Table21[[#This Row],[opening balance]]</f>
        <v>198.9846992411772</v>
      </c>
      <c r="H34" s="65">
        <f>Table21[[#This Row],[monhly installment]]-Table21[[#This Row],[interest]]</f>
        <v>356.11781046707006</v>
      </c>
      <c r="I34" s="52">
        <f>Table21[[#This Row],[opening balance]]-Table21[[#This Row],[principal paid]]</f>
        <v>39440.822037768368</v>
      </c>
    </row>
    <row r="35" spans="4:9">
      <c r="D35">
        <f t="shared" si="2"/>
        <v>33</v>
      </c>
      <c r="E35" s="52">
        <f t="shared" si="3"/>
        <v>39440.822037768368</v>
      </c>
      <c r="F35" s="1">
        <f t="shared" si="4"/>
        <v>555.10250970824723</v>
      </c>
      <c r="G35" s="65">
        <f>(6%/12)*Table21[[#This Row],[opening balance]]</f>
        <v>197.20411018884184</v>
      </c>
      <c r="H35" s="65">
        <f>Table21[[#This Row],[monhly installment]]-Table21[[#This Row],[interest]]</f>
        <v>357.89839951940542</v>
      </c>
      <c r="I35" s="52">
        <f>Table21[[#This Row],[opening balance]]-Table21[[#This Row],[principal paid]]</f>
        <v>39082.923638248962</v>
      </c>
    </row>
    <row r="36" spans="4:9">
      <c r="D36">
        <f t="shared" si="2"/>
        <v>34</v>
      </c>
      <c r="E36" s="52">
        <f t="shared" si="3"/>
        <v>39082.923638248962</v>
      </c>
      <c r="F36" s="1">
        <f t="shared" si="4"/>
        <v>555.10250970824723</v>
      </c>
      <c r="G36" s="65">
        <f>(6%/12)*Table21[[#This Row],[opening balance]]</f>
        <v>195.41461819124481</v>
      </c>
      <c r="H36" s="65">
        <f>Table21[[#This Row],[monhly installment]]-Table21[[#This Row],[interest]]</f>
        <v>359.68789151700241</v>
      </c>
      <c r="I36" s="52">
        <f>Table21[[#This Row],[opening balance]]-Table21[[#This Row],[principal paid]]</f>
        <v>38723.23574673196</v>
      </c>
    </row>
    <row r="37" spans="4:9">
      <c r="D37">
        <f t="shared" si="2"/>
        <v>35</v>
      </c>
      <c r="E37" s="52">
        <f t="shared" si="3"/>
        <v>38723.23574673196</v>
      </c>
      <c r="F37" s="1">
        <f t="shared" si="4"/>
        <v>555.10250970824723</v>
      </c>
      <c r="G37" s="65">
        <f>(6%/12)*Table21[[#This Row],[opening balance]]</f>
        <v>193.61617873365981</v>
      </c>
      <c r="H37" s="65">
        <f>Table21[[#This Row],[monhly installment]]-Table21[[#This Row],[interest]]</f>
        <v>361.48633097458742</v>
      </c>
      <c r="I37" s="52">
        <f>Table21[[#This Row],[opening balance]]-Table21[[#This Row],[principal paid]]</f>
        <v>38361.749415757375</v>
      </c>
    </row>
    <row r="38" spans="4:9">
      <c r="D38">
        <f t="shared" si="2"/>
        <v>36</v>
      </c>
      <c r="E38" s="52">
        <f t="shared" si="3"/>
        <v>38361.749415757375</v>
      </c>
      <c r="F38" s="1">
        <f t="shared" si="4"/>
        <v>555.10250970824723</v>
      </c>
      <c r="G38" s="65">
        <f>(6%/12)*Table21[[#This Row],[opening balance]]</f>
        <v>191.80874707878687</v>
      </c>
      <c r="H38" s="65">
        <f>Table21[[#This Row],[monhly installment]]-Table21[[#This Row],[interest]]</f>
        <v>363.29376262946039</v>
      </c>
      <c r="I38" s="52">
        <f>Table21[[#This Row],[opening balance]]-Table21[[#This Row],[principal paid]]-5000</f>
        <v>32998.455653127916</v>
      </c>
    </row>
    <row r="39" spans="4:9">
      <c r="D39">
        <f t="shared" si="2"/>
        <v>37</v>
      </c>
      <c r="E39" s="52">
        <f t="shared" si="3"/>
        <v>32998.455653127916</v>
      </c>
      <c r="F39" s="1">
        <f t="shared" si="4"/>
        <v>555.10250970824723</v>
      </c>
      <c r="G39" s="65">
        <f>(6%/12)*Table21[[#This Row],[opening balance]]</f>
        <v>164.99227826563958</v>
      </c>
      <c r="H39" s="65">
        <f>Table21[[#This Row],[monhly installment]]-Table21[[#This Row],[interest]]</f>
        <v>390.11023144260764</v>
      </c>
      <c r="I39" s="52">
        <f>Table21[[#This Row],[opening balance]]-Table21[[#This Row],[principal paid]]</f>
        <v>32608.34542168531</v>
      </c>
    </row>
    <row r="40" spans="4:9">
      <c r="D40">
        <f t="shared" si="2"/>
        <v>38</v>
      </c>
      <c r="E40" s="52">
        <f t="shared" si="3"/>
        <v>32608.34542168531</v>
      </c>
      <c r="F40" s="1">
        <f t="shared" si="4"/>
        <v>555.10250970824723</v>
      </c>
      <c r="G40" s="65">
        <f>(6%/12)*Table21[[#This Row],[opening balance]]</f>
        <v>163.04172710842656</v>
      </c>
      <c r="H40" s="65">
        <f>Table21[[#This Row],[monhly installment]]-Table21[[#This Row],[interest]]</f>
        <v>392.06078259982064</v>
      </c>
      <c r="I40" s="52">
        <f>Table21[[#This Row],[opening balance]]-Table21[[#This Row],[principal paid]]</f>
        <v>32216.28463908549</v>
      </c>
    </row>
    <row r="41" spans="4:9">
      <c r="D41">
        <f t="shared" si="2"/>
        <v>39</v>
      </c>
      <c r="E41" s="52">
        <f t="shared" si="3"/>
        <v>32216.28463908549</v>
      </c>
      <c r="F41" s="1">
        <f t="shared" si="4"/>
        <v>555.10250970824723</v>
      </c>
      <c r="G41" s="65">
        <f>(6%/12)*Table21[[#This Row],[opening balance]]</f>
        <v>161.08142319542745</v>
      </c>
      <c r="H41" s="65">
        <f>Table21[[#This Row],[monhly installment]]-Table21[[#This Row],[interest]]</f>
        <v>394.02108651281981</v>
      </c>
      <c r="I41" s="52">
        <f>Table21[[#This Row],[opening balance]]-Table21[[#This Row],[principal paid]]</f>
        <v>31822.263552572669</v>
      </c>
    </row>
    <row r="42" spans="4:9">
      <c r="D42">
        <f t="shared" si="2"/>
        <v>40</v>
      </c>
      <c r="E42" s="52">
        <f t="shared" si="3"/>
        <v>31822.263552572669</v>
      </c>
      <c r="F42" s="1">
        <f t="shared" si="4"/>
        <v>555.10250970824723</v>
      </c>
      <c r="G42" s="65">
        <f>(6%/12)*Table21[[#This Row],[opening balance]]</f>
        <v>159.11131776286334</v>
      </c>
      <c r="H42" s="65">
        <f>Table21[[#This Row],[monhly installment]]-Table21[[#This Row],[interest]]</f>
        <v>395.99119194538389</v>
      </c>
      <c r="I42" s="52">
        <f>Table21[[#This Row],[opening balance]]-Table21[[#This Row],[principal paid]]</f>
        <v>31426.272360627285</v>
      </c>
    </row>
    <row r="43" spans="4:9">
      <c r="D43">
        <f t="shared" si="2"/>
        <v>41</v>
      </c>
      <c r="E43" s="52">
        <f t="shared" si="3"/>
        <v>31426.272360627285</v>
      </c>
      <c r="F43" s="1">
        <f t="shared" si="4"/>
        <v>555.10250970824723</v>
      </c>
      <c r="G43" s="65">
        <f>(6%/12)*Table21[[#This Row],[opening balance]]</f>
        <v>157.13136180313643</v>
      </c>
      <c r="H43" s="65">
        <f>Table21[[#This Row],[monhly installment]]-Table21[[#This Row],[interest]]</f>
        <v>397.9711479051108</v>
      </c>
      <c r="I43" s="52">
        <f>Table21[[#This Row],[opening balance]]-Table21[[#This Row],[principal paid]]</f>
        <v>31028.301212722174</v>
      </c>
    </row>
    <row r="44" spans="4:9">
      <c r="D44">
        <f t="shared" si="2"/>
        <v>42</v>
      </c>
      <c r="E44" s="52">
        <f t="shared" si="3"/>
        <v>31028.301212722174</v>
      </c>
      <c r="F44" s="1">
        <f t="shared" si="4"/>
        <v>555.10250970824723</v>
      </c>
      <c r="G44" s="65">
        <f>(6%/12)*Table21[[#This Row],[opening balance]]</f>
        <v>155.14150606361088</v>
      </c>
      <c r="H44" s="65">
        <f>Table21[[#This Row],[monhly installment]]-Table21[[#This Row],[interest]]</f>
        <v>399.96100364463632</v>
      </c>
      <c r="I44" s="52">
        <f>Table21[[#This Row],[opening balance]]-Table21[[#This Row],[principal paid]]</f>
        <v>30628.340209077538</v>
      </c>
    </row>
    <row r="45" spans="4:9">
      <c r="D45">
        <f t="shared" si="2"/>
        <v>43</v>
      </c>
      <c r="E45" s="52">
        <f t="shared" si="3"/>
        <v>30628.340209077538</v>
      </c>
      <c r="F45" s="1">
        <f t="shared" si="4"/>
        <v>555.10250970824723</v>
      </c>
      <c r="G45" s="65">
        <f>(6%/12)*Table21[[#This Row],[opening balance]]</f>
        <v>153.14170104538769</v>
      </c>
      <c r="H45" s="65">
        <f>Table21[[#This Row],[monhly installment]]-Table21[[#This Row],[interest]]</f>
        <v>401.96080866285956</v>
      </c>
      <c r="I45" s="52">
        <f>Table21[[#This Row],[opening balance]]-Table21[[#This Row],[principal paid]]</f>
        <v>30226.379400414677</v>
      </c>
    </row>
    <row r="46" spans="4:9">
      <c r="D46">
        <f t="shared" si="2"/>
        <v>44</v>
      </c>
      <c r="E46" s="52">
        <f t="shared" ref="E46:E77" si="5">I45</f>
        <v>30226.379400414677</v>
      </c>
      <c r="F46" s="1">
        <f t="shared" ref="F46:F77" si="6">$B$6</f>
        <v>555.10250970824723</v>
      </c>
      <c r="G46" s="65">
        <f>(6%/12)*Table21[[#This Row],[opening balance]]</f>
        <v>151.13189700207337</v>
      </c>
      <c r="H46" s="65">
        <f>Table21[[#This Row],[monhly installment]]-Table21[[#This Row],[interest]]</f>
        <v>403.97061270617382</v>
      </c>
      <c r="I46" s="52">
        <f>Table21[[#This Row],[opening balance]]-Table21[[#This Row],[principal paid]]</f>
        <v>29822.408787708504</v>
      </c>
    </row>
    <row r="47" spans="4:9">
      <c r="D47">
        <f t="shared" si="2"/>
        <v>45</v>
      </c>
      <c r="E47" s="52">
        <f t="shared" si="5"/>
        <v>29822.408787708504</v>
      </c>
      <c r="F47" s="1">
        <f t="shared" si="6"/>
        <v>555.10250970824723</v>
      </c>
      <c r="G47" s="65">
        <f>(6%/12)*Table21[[#This Row],[opening balance]]</f>
        <v>149.11204393854251</v>
      </c>
      <c r="H47" s="65">
        <f>Table21[[#This Row],[monhly installment]]-Table21[[#This Row],[interest]]</f>
        <v>405.99046576970471</v>
      </c>
      <c r="I47" s="52">
        <f>Table21[[#This Row],[opening balance]]-Table21[[#This Row],[principal paid]]</f>
        <v>29416.4183219388</v>
      </c>
    </row>
    <row r="48" spans="4:9">
      <c r="D48">
        <f t="shared" si="2"/>
        <v>46</v>
      </c>
      <c r="E48" s="52">
        <f t="shared" si="5"/>
        <v>29416.4183219388</v>
      </c>
      <c r="F48" s="1">
        <f t="shared" si="6"/>
        <v>555.10250970824723</v>
      </c>
      <c r="G48" s="65">
        <f>(6%/12)*Table21[[#This Row],[opening balance]]</f>
        <v>147.082091609694</v>
      </c>
      <c r="H48" s="65">
        <f>Table21[[#This Row],[monhly installment]]-Table21[[#This Row],[interest]]</f>
        <v>408.02041809855325</v>
      </c>
      <c r="I48" s="52">
        <f>Table21[[#This Row],[opening balance]]-Table21[[#This Row],[principal paid]]</f>
        <v>29008.397903840247</v>
      </c>
    </row>
    <row r="49" spans="4:9">
      <c r="D49">
        <f t="shared" si="2"/>
        <v>47</v>
      </c>
      <c r="E49" s="52">
        <f t="shared" si="5"/>
        <v>29008.397903840247</v>
      </c>
      <c r="F49" s="1">
        <f t="shared" si="6"/>
        <v>555.10250970824723</v>
      </c>
      <c r="G49" s="65">
        <f>(6%/12)*Table21[[#This Row],[opening balance]]</f>
        <v>145.04198951920122</v>
      </c>
      <c r="H49" s="65">
        <f>Table21[[#This Row],[monhly installment]]-Table21[[#This Row],[interest]]</f>
        <v>410.06052018904597</v>
      </c>
      <c r="I49" s="52">
        <f>Table21[[#This Row],[opening balance]]-Table21[[#This Row],[principal paid]]</f>
        <v>28598.3373836512</v>
      </c>
    </row>
    <row r="50" spans="4:9">
      <c r="D50">
        <f t="shared" si="2"/>
        <v>48</v>
      </c>
      <c r="E50" s="52">
        <f t="shared" si="5"/>
        <v>28598.3373836512</v>
      </c>
      <c r="F50" s="1">
        <f t="shared" si="6"/>
        <v>555.10250970824723</v>
      </c>
      <c r="G50" s="65">
        <f>(6%/12)*Table21[[#This Row],[opening balance]]</f>
        <v>142.99168691825599</v>
      </c>
      <c r="H50" s="65">
        <f>Table21[[#This Row],[monhly installment]]-Table21[[#This Row],[interest]]</f>
        <v>412.11082278999123</v>
      </c>
      <c r="I50" s="52">
        <f>Table21[[#This Row],[opening balance]]-Table21[[#This Row],[principal paid]]</f>
        <v>28186.226560861211</v>
      </c>
    </row>
    <row r="51" spans="4:9">
      <c r="D51">
        <f t="shared" si="2"/>
        <v>49</v>
      </c>
      <c r="E51" s="52">
        <f t="shared" si="5"/>
        <v>28186.226560861211</v>
      </c>
      <c r="F51" s="1">
        <f t="shared" si="6"/>
        <v>555.10250970824723</v>
      </c>
      <c r="G51" s="65">
        <f>(6%/12)*Table21[[#This Row],[opening balance]]</f>
        <v>140.93113280430606</v>
      </c>
      <c r="H51" s="65">
        <f>Table21[[#This Row],[monhly installment]]-Table21[[#This Row],[interest]]</f>
        <v>414.17137690394117</v>
      </c>
      <c r="I51" s="52">
        <f>Table21[[#This Row],[opening balance]]-Table21[[#This Row],[principal paid]]</f>
        <v>27772.055183957269</v>
      </c>
    </row>
    <row r="52" spans="4:9">
      <c r="D52">
        <f t="shared" si="2"/>
        <v>50</v>
      </c>
      <c r="E52" s="52">
        <f t="shared" si="5"/>
        <v>27772.055183957269</v>
      </c>
      <c r="F52" s="1">
        <f t="shared" si="6"/>
        <v>555.10250970824723</v>
      </c>
      <c r="G52" s="65">
        <f>(6%/12)*Table21[[#This Row],[opening balance]]</f>
        <v>138.86027591978635</v>
      </c>
      <c r="H52" s="65">
        <f>Table21[[#This Row],[monhly installment]]-Table21[[#This Row],[interest]]</f>
        <v>416.24223378846091</v>
      </c>
      <c r="I52" s="52">
        <f>Table21[[#This Row],[opening balance]]-Table21[[#This Row],[principal paid]]</f>
        <v>27355.812950168809</v>
      </c>
    </row>
    <row r="53" spans="4:9">
      <c r="D53">
        <f t="shared" si="2"/>
        <v>51</v>
      </c>
      <c r="E53" s="52">
        <f t="shared" si="5"/>
        <v>27355.812950168809</v>
      </c>
      <c r="F53" s="1">
        <f t="shared" si="6"/>
        <v>555.10250970824723</v>
      </c>
      <c r="G53" s="65">
        <f>(6%/12)*Table21[[#This Row],[opening balance]]</f>
        <v>136.77906475084404</v>
      </c>
      <c r="H53" s="65">
        <f>Table21[[#This Row],[monhly installment]]-Table21[[#This Row],[interest]]</f>
        <v>418.32344495740318</v>
      </c>
      <c r="I53" s="52">
        <f>Table21[[#This Row],[opening balance]]-Table21[[#This Row],[principal paid]]</f>
        <v>26937.489505211404</v>
      </c>
    </row>
    <row r="54" spans="4:9">
      <c r="D54">
        <f t="shared" si="2"/>
        <v>52</v>
      </c>
      <c r="E54" s="52">
        <f t="shared" si="5"/>
        <v>26937.489505211404</v>
      </c>
      <c r="F54" s="1">
        <f t="shared" si="6"/>
        <v>555.10250970824723</v>
      </c>
      <c r="G54" s="65">
        <f>(6%/12)*Table21[[#This Row],[opening balance]]</f>
        <v>134.68744752605701</v>
      </c>
      <c r="H54" s="65">
        <f>Table21[[#This Row],[monhly installment]]-Table21[[#This Row],[interest]]</f>
        <v>420.41506218219024</v>
      </c>
      <c r="I54" s="52">
        <f>Table21[[#This Row],[opening balance]]-Table21[[#This Row],[principal paid]]</f>
        <v>26517.074443029214</v>
      </c>
    </row>
    <row r="55" spans="4:9">
      <c r="D55">
        <f t="shared" si="2"/>
        <v>53</v>
      </c>
      <c r="E55" s="52">
        <f t="shared" si="5"/>
        <v>26517.074443029214</v>
      </c>
      <c r="F55" s="1">
        <f t="shared" si="6"/>
        <v>555.10250970824723</v>
      </c>
      <c r="G55" s="65">
        <f>(6%/12)*Table21[[#This Row],[opening balance]]</f>
        <v>132.58537221514607</v>
      </c>
      <c r="H55" s="65">
        <f>Table21[[#This Row],[monhly installment]]-Table21[[#This Row],[interest]]</f>
        <v>422.51713749310113</v>
      </c>
      <c r="I55" s="52">
        <f>Table21[[#This Row],[opening balance]]-Table21[[#This Row],[principal paid]]</f>
        <v>26094.557305536113</v>
      </c>
    </row>
    <row r="56" spans="4:9">
      <c r="D56">
        <f t="shared" si="2"/>
        <v>54</v>
      </c>
      <c r="E56" s="52">
        <f t="shared" si="5"/>
        <v>26094.557305536113</v>
      </c>
      <c r="F56" s="1">
        <f t="shared" si="6"/>
        <v>555.10250970824723</v>
      </c>
      <c r="G56" s="65">
        <f>(6%/12)*Table21[[#This Row],[opening balance]]</f>
        <v>130.47278652768057</v>
      </c>
      <c r="H56" s="65">
        <f>Table21[[#This Row],[monhly installment]]-Table21[[#This Row],[interest]]</f>
        <v>424.62972318056666</v>
      </c>
      <c r="I56" s="52">
        <f>Table21[[#This Row],[opening balance]]-Table21[[#This Row],[principal paid]]</f>
        <v>25669.927582355547</v>
      </c>
    </row>
    <row r="57" spans="4:9">
      <c r="D57">
        <f t="shared" si="2"/>
        <v>55</v>
      </c>
      <c r="E57" s="52">
        <f t="shared" si="5"/>
        <v>25669.927582355547</v>
      </c>
      <c r="F57" s="1">
        <f t="shared" si="6"/>
        <v>555.10250970824723</v>
      </c>
      <c r="G57" s="65">
        <f>(6%/12)*Table21[[#This Row],[opening balance]]</f>
        <v>128.34963791177773</v>
      </c>
      <c r="H57" s="65">
        <f>Table21[[#This Row],[monhly installment]]-Table21[[#This Row],[interest]]</f>
        <v>426.75287179646949</v>
      </c>
      <c r="I57" s="52">
        <f>Table21[[#This Row],[opening balance]]-Table21[[#This Row],[principal paid]]</f>
        <v>25243.174710559077</v>
      </c>
    </row>
    <row r="58" spans="4:9">
      <c r="D58">
        <f t="shared" si="2"/>
        <v>56</v>
      </c>
      <c r="E58" s="52">
        <f t="shared" si="5"/>
        <v>25243.174710559077</v>
      </c>
      <c r="F58" s="1">
        <f t="shared" si="6"/>
        <v>555.10250970824723</v>
      </c>
      <c r="G58" s="65">
        <f>(6%/12)*Table21[[#This Row],[opening balance]]</f>
        <v>126.21587355279539</v>
      </c>
      <c r="H58" s="65">
        <f>Table21[[#This Row],[monhly installment]]-Table21[[#This Row],[interest]]</f>
        <v>428.88663615545181</v>
      </c>
      <c r="I58" s="52">
        <f>Table21[[#This Row],[opening balance]]-Table21[[#This Row],[principal paid]]</f>
        <v>24814.288074403627</v>
      </c>
    </row>
    <row r="59" spans="4:9">
      <c r="D59">
        <f t="shared" si="2"/>
        <v>57</v>
      </c>
      <c r="E59" s="52">
        <f t="shared" si="5"/>
        <v>24814.288074403627</v>
      </c>
      <c r="F59" s="1">
        <f t="shared" si="6"/>
        <v>555.10250970824723</v>
      </c>
      <c r="G59" s="65">
        <f>(6%/12)*Table21[[#This Row],[opening balance]]</f>
        <v>124.07144037201813</v>
      </c>
      <c r="H59" s="65">
        <f>Table21[[#This Row],[monhly installment]]-Table21[[#This Row],[interest]]</f>
        <v>431.03106933622911</v>
      </c>
      <c r="I59" s="52">
        <f>Table21[[#This Row],[opening balance]]-Table21[[#This Row],[principal paid]]</f>
        <v>24383.257005067397</v>
      </c>
    </row>
    <row r="60" spans="4:9">
      <c r="D60">
        <f t="shared" si="2"/>
        <v>58</v>
      </c>
      <c r="E60" s="52">
        <f t="shared" si="5"/>
        <v>24383.257005067397</v>
      </c>
      <c r="F60" s="1">
        <f t="shared" si="6"/>
        <v>555.10250970824723</v>
      </c>
      <c r="G60" s="65">
        <f>(6%/12)*Table21[[#This Row],[opening balance]]</f>
        <v>121.91628502533699</v>
      </c>
      <c r="H60" s="65">
        <f>Table21[[#This Row],[monhly installment]]-Table21[[#This Row],[interest]]</f>
        <v>433.18622468291022</v>
      </c>
      <c r="I60" s="52">
        <f>Table21[[#This Row],[opening balance]]-Table21[[#This Row],[principal paid]]</f>
        <v>23950.070780384485</v>
      </c>
    </row>
    <row r="61" spans="4:9">
      <c r="D61">
        <f t="shared" si="2"/>
        <v>59</v>
      </c>
      <c r="E61" s="52">
        <f t="shared" si="5"/>
        <v>23950.070780384485</v>
      </c>
      <c r="F61" s="1">
        <f t="shared" si="6"/>
        <v>555.10250970824723</v>
      </c>
      <c r="G61" s="65">
        <f>(6%/12)*Table21[[#This Row],[opening balance]]</f>
        <v>119.75035390192242</v>
      </c>
      <c r="H61" s="65">
        <f>Table21[[#This Row],[monhly installment]]-Table21[[#This Row],[interest]]</f>
        <v>435.35215580632479</v>
      </c>
      <c r="I61" s="52">
        <f>Table21[[#This Row],[opening balance]]-Table21[[#This Row],[principal paid]]</f>
        <v>23514.71862457816</v>
      </c>
    </row>
    <row r="62" spans="4:9">
      <c r="D62">
        <f t="shared" si="2"/>
        <v>60</v>
      </c>
      <c r="E62" s="52">
        <f t="shared" si="5"/>
        <v>23514.71862457816</v>
      </c>
      <c r="F62" s="1">
        <f t="shared" si="6"/>
        <v>555.10250970824723</v>
      </c>
      <c r="G62" s="65">
        <f>(6%/12)*Table21[[#This Row],[opening balance]]</f>
        <v>117.5735931228908</v>
      </c>
      <c r="H62" s="65">
        <f>Table21[[#This Row],[monhly installment]]-Table21[[#This Row],[interest]]</f>
        <v>437.52891658535646</v>
      </c>
      <c r="I62" s="52">
        <f>Table21[[#This Row],[opening balance]]-Table21[[#This Row],[principal paid]]</f>
        <v>23077.189707992802</v>
      </c>
    </row>
    <row r="63" spans="4:9">
      <c r="D63">
        <f t="shared" si="2"/>
        <v>61</v>
      </c>
      <c r="E63" s="52">
        <f t="shared" si="5"/>
        <v>23077.189707992802</v>
      </c>
      <c r="F63" s="1">
        <f t="shared" si="6"/>
        <v>555.10250970824723</v>
      </c>
      <c r="G63" s="65">
        <f>(6%/12)*Table21[[#This Row],[opening balance]]</f>
        <v>115.38594853996402</v>
      </c>
      <c r="H63" s="65">
        <f>Table21[[#This Row],[monhly installment]]-Table21[[#This Row],[interest]]</f>
        <v>439.71656116828319</v>
      </c>
      <c r="I63" s="52">
        <f>Table21[[#This Row],[opening balance]]-Table21[[#This Row],[principal paid]]</f>
        <v>22637.473146824519</v>
      </c>
    </row>
    <row r="64" spans="4:9">
      <c r="D64">
        <f t="shared" si="2"/>
        <v>62</v>
      </c>
      <c r="E64" s="52">
        <f t="shared" si="5"/>
        <v>22637.473146824519</v>
      </c>
      <c r="F64" s="1">
        <f t="shared" si="6"/>
        <v>555.10250970824723</v>
      </c>
      <c r="G64" s="65">
        <f>(6%/12)*Table21[[#This Row],[opening balance]]</f>
        <v>113.18736573412259</v>
      </c>
      <c r="H64" s="65">
        <f>Table21[[#This Row],[monhly installment]]-Table21[[#This Row],[interest]]</f>
        <v>441.91514397412465</v>
      </c>
      <c r="I64" s="52">
        <f>Table21[[#This Row],[opening balance]]-Table21[[#This Row],[principal paid]]</f>
        <v>22195.558002850394</v>
      </c>
    </row>
    <row r="65" spans="4:9">
      <c r="D65">
        <f t="shared" si="2"/>
        <v>63</v>
      </c>
      <c r="E65" s="52">
        <f t="shared" si="5"/>
        <v>22195.558002850394</v>
      </c>
      <c r="F65" s="1">
        <f t="shared" si="6"/>
        <v>555.10250970824723</v>
      </c>
      <c r="G65" s="65">
        <f>(6%/12)*Table21[[#This Row],[opening balance]]</f>
        <v>110.97779001425197</v>
      </c>
      <c r="H65" s="65">
        <f>Table21[[#This Row],[monhly installment]]-Table21[[#This Row],[interest]]</f>
        <v>444.12471969399525</v>
      </c>
      <c r="I65" s="52">
        <f>Table21[[#This Row],[opening balance]]-Table21[[#This Row],[principal paid]]</f>
        <v>21751.433283156399</v>
      </c>
    </row>
    <row r="66" spans="4:9">
      <c r="D66">
        <f t="shared" si="2"/>
        <v>64</v>
      </c>
      <c r="E66" s="52">
        <f t="shared" si="5"/>
        <v>21751.433283156399</v>
      </c>
      <c r="F66" s="1">
        <f t="shared" si="6"/>
        <v>555.10250970824723</v>
      </c>
      <c r="G66" s="65">
        <f>(6%/12)*Table21[[#This Row],[opening balance]]</f>
        <v>108.757166415782</v>
      </c>
      <c r="H66" s="65">
        <f>Table21[[#This Row],[monhly installment]]-Table21[[#This Row],[interest]]</f>
        <v>446.34534329246526</v>
      </c>
      <c r="I66" s="52">
        <f>Table21[[#This Row],[opening balance]]-Table21[[#This Row],[principal paid]]</f>
        <v>21305.087939863934</v>
      </c>
    </row>
    <row r="67" spans="4:9">
      <c r="D67">
        <f t="shared" si="2"/>
        <v>65</v>
      </c>
      <c r="E67" s="52">
        <f t="shared" si="5"/>
        <v>21305.087939863934</v>
      </c>
      <c r="F67" s="1">
        <f t="shared" si="6"/>
        <v>555.10250970824723</v>
      </c>
      <c r="G67" s="65">
        <f>(6%/12)*Table21[[#This Row],[opening balance]]</f>
        <v>106.52543969931968</v>
      </c>
      <c r="H67" s="65">
        <f>Table21[[#This Row],[monhly installment]]-Table21[[#This Row],[interest]]</f>
        <v>448.57707000892754</v>
      </c>
      <c r="I67" s="52">
        <f>Table21[[#This Row],[opening balance]]-Table21[[#This Row],[principal paid]]</f>
        <v>20856.510869855007</v>
      </c>
    </row>
    <row r="68" spans="4:9">
      <c r="D68">
        <f t="shared" si="2"/>
        <v>66</v>
      </c>
      <c r="E68" s="52">
        <f t="shared" si="5"/>
        <v>20856.510869855007</v>
      </c>
      <c r="F68" s="1">
        <f t="shared" si="6"/>
        <v>555.10250970824723</v>
      </c>
      <c r="G68" s="65">
        <f>(6%/12)*Table21[[#This Row],[opening balance]]</f>
        <v>104.28255434927503</v>
      </c>
      <c r="H68" s="65">
        <f>Table21[[#This Row],[monhly installment]]-Table21[[#This Row],[interest]]</f>
        <v>450.81995535897221</v>
      </c>
      <c r="I68" s="52">
        <f>Table21[[#This Row],[opening balance]]-Table21[[#This Row],[principal paid]]</f>
        <v>20405.690914496034</v>
      </c>
    </row>
    <row r="69" spans="4:9">
      <c r="D69">
        <f t="shared" ref="D69:D122" si="7">D68+1</f>
        <v>67</v>
      </c>
      <c r="E69" s="52">
        <f t="shared" si="5"/>
        <v>20405.690914496034</v>
      </c>
      <c r="F69" s="1">
        <f t="shared" si="6"/>
        <v>555.10250970824723</v>
      </c>
      <c r="G69" s="65">
        <f>(6%/12)*Table21[[#This Row],[opening balance]]</f>
        <v>102.02845457248017</v>
      </c>
      <c r="H69" s="65">
        <f>Table21[[#This Row],[monhly installment]]-Table21[[#This Row],[interest]]</f>
        <v>453.07405513576703</v>
      </c>
      <c r="I69" s="52">
        <f>Table21[[#This Row],[opening balance]]-Table21[[#This Row],[principal paid]]</f>
        <v>19952.616859360267</v>
      </c>
    </row>
    <row r="70" spans="4:9">
      <c r="D70">
        <f t="shared" si="7"/>
        <v>68</v>
      </c>
      <c r="E70" s="52">
        <f t="shared" si="5"/>
        <v>19952.616859360267</v>
      </c>
      <c r="F70" s="1">
        <f t="shared" si="6"/>
        <v>555.10250970824723</v>
      </c>
      <c r="G70" s="65">
        <f>(6%/12)*Table21[[#This Row],[opening balance]]</f>
        <v>99.763084296801338</v>
      </c>
      <c r="H70" s="65">
        <f>Table21[[#This Row],[monhly installment]]-Table21[[#This Row],[interest]]</f>
        <v>455.33942541144586</v>
      </c>
      <c r="I70" s="52">
        <f>Table21[[#This Row],[opening balance]]-Table21[[#This Row],[principal paid]]</f>
        <v>19497.277433948821</v>
      </c>
    </row>
    <row r="71" spans="4:9">
      <c r="D71">
        <f t="shared" si="7"/>
        <v>69</v>
      </c>
      <c r="E71" s="52">
        <f t="shared" si="5"/>
        <v>19497.277433948821</v>
      </c>
      <c r="F71" s="1">
        <f t="shared" si="6"/>
        <v>555.10250970824723</v>
      </c>
      <c r="G71" s="65">
        <f>(6%/12)*Table21[[#This Row],[opening balance]]</f>
        <v>97.486387169744106</v>
      </c>
      <c r="H71" s="65">
        <f>Table21[[#This Row],[monhly installment]]-Table21[[#This Row],[interest]]</f>
        <v>457.61612253850313</v>
      </c>
      <c r="I71" s="52">
        <f>Table21[[#This Row],[opening balance]]-Table21[[#This Row],[principal paid]]</f>
        <v>19039.661311410317</v>
      </c>
    </row>
    <row r="72" spans="4:9">
      <c r="D72">
        <f t="shared" si="7"/>
        <v>70</v>
      </c>
      <c r="E72" s="52">
        <f t="shared" si="5"/>
        <v>19039.661311410317</v>
      </c>
      <c r="F72" s="1">
        <f t="shared" si="6"/>
        <v>555.10250970824723</v>
      </c>
      <c r="G72" s="65">
        <f>(6%/12)*Table21[[#This Row],[opening balance]]</f>
        <v>95.198306557051581</v>
      </c>
      <c r="H72" s="65">
        <f>Table21[[#This Row],[monhly installment]]-Table21[[#This Row],[interest]]</f>
        <v>459.90420315119565</v>
      </c>
      <c r="I72" s="52">
        <f>Table21[[#This Row],[opening balance]]-Table21[[#This Row],[principal paid]]</f>
        <v>18579.75710825912</v>
      </c>
    </row>
    <row r="73" spans="4:9">
      <c r="D73">
        <f t="shared" si="7"/>
        <v>71</v>
      </c>
      <c r="E73" s="52">
        <f t="shared" si="5"/>
        <v>18579.75710825912</v>
      </c>
      <c r="F73" s="1">
        <f t="shared" si="6"/>
        <v>555.10250970824723</v>
      </c>
      <c r="G73" s="65">
        <f>(6%/12)*Table21[[#This Row],[opening balance]]</f>
        <v>92.898785541295609</v>
      </c>
      <c r="H73" s="65">
        <f>Table21[[#This Row],[monhly installment]]-Table21[[#This Row],[interest]]</f>
        <v>462.20372416695159</v>
      </c>
      <c r="I73" s="52">
        <f>Table21[[#This Row],[opening balance]]-Table21[[#This Row],[principal paid]]</f>
        <v>18117.553384092167</v>
      </c>
    </row>
    <row r="74" spans="4:9">
      <c r="D74">
        <f t="shared" si="7"/>
        <v>72</v>
      </c>
      <c r="E74" s="52">
        <f t="shared" si="5"/>
        <v>18117.553384092167</v>
      </c>
      <c r="F74" s="1">
        <f t="shared" si="6"/>
        <v>555.10250970824723</v>
      </c>
      <c r="G74" s="65">
        <f>(6%/12)*Table21[[#This Row],[opening balance]]</f>
        <v>90.587766920460837</v>
      </c>
      <c r="H74" s="65">
        <f>Table21[[#This Row],[monhly installment]]-Table21[[#This Row],[interest]]</f>
        <v>464.51474278778642</v>
      </c>
      <c r="I74" s="52">
        <f>Table21[[#This Row],[opening balance]]-Table21[[#This Row],[principal paid]]</f>
        <v>17653.038641304382</v>
      </c>
    </row>
    <row r="75" spans="4:9">
      <c r="D75">
        <f t="shared" si="7"/>
        <v>73</v>
      </c>
      <c r="E75" s="52">
        <f t="shared" si="5"/>
        <v>17653.038641304382</v>
      </c>
      <c r="F75" s="1">
        <f t="shared" si="6"/>
        <v>555.10250970824723</v>
      </c>
      <c r="G75" s="65">
        <f>(6%/12)*Table21[[#This Row],[opening balance]]</f>
        <v>88.265193206521914</v>
      </c>
      <c r="H75" s="65">
        <f>Table21[[#This Row],[monhly installment]]-Table21[[#This Row],[interest]]</f>
        <v>466.8373165017253</v>
      </c>
      <c r="I75" s="52">
        <f>Table21[[#This Row],[opening balance]]-Table21[[#This Row],[principal paid]]</f>
        <v>17186.201324802656</v>
      </c>
    </row>
    <row r="76" spans="4:9">
      <c r="D76">
        <f t="shared" si="7"/>
        <v>74</v>
      </c>
      <c r="E76" s="52">
        <f t="shared" si="5"/>
        <v>17186.201324802656</v>
      </c>
      <c r="F76" s="1">
        <f t="shared" si="6"/>
        <v>555.10250970824723</v>
      </c>
      <c r="G76" s="65">
        <f>(6%/12)*Table21[[#This Row],[opening balance]]</f>
        <v>85.931006624013278</v>
      </c>
      <c r="H76" s="65">
        <f>Table21[[#This Row],[monhly installment]]-Table21[[#This Row],[interest]]</f>
        <v>469.17150308423396</v>
      </c>
      <c r="I76" s="52">
        <f>Table21[[#This Row],[opening balance]]-Table21[[#This Row],[principal paid]]</f>
        <v>16717.029821718421</v>
      </c>
    </row>
    <row r="77" spans="4:9">
      <c r="D77">
        <f t="shared" si="7"/>
        <v>75</v>
      </c>
      <c r="E77" s="52">
        <f t="shared" si="5"/>
        <v>16717.029821718421</v>
      </c>
      <c r="F77" s="1">
        <f t="shared" si="6"/>
        <v>555.10250970824723</v>
      </c>
      <c r="G77" s="65">
        <f>(6%/12)*Table21[[#This Row],[opening balance]]</f>
        <v>83.585149108592105</v>
      </c>
      <c r="H77" s="65">
        <f>Table21[[#This Row],[monhly installment]]-Table21[[#This Row],[interest]]</f>
        <v>471.51736059965515</v>
      </c>
      <c r="I77" s="52">
        <f>Table21[[#This Row],[opening balance]]-Table21[[#This Row],[principal paid]]</f>
        <v>16245.512461118766</v>
      </c>
    </row>
    <row r="78" spans="4:9">
      <c r="D78">
        <f t="shared" si="7"/>
        <v>76</v>
      </c>
      <c r="E78" s="52">
        <f t="shared" ref="E78:E94" si="8">I77</f>
        <v>16245.512461118766</v>
      </c>
      <c r="F78" s="1">
        <f t="shared" ref="F78:F94" si="9">$B$6</f>
        <v>555.10250970824723</v>
      </c>
      <c r="G78" s="65">
        <f>(6%/12)*Table21[[#This Row],[opening balance]]</f>
        <v>81.227562305593835</v>
      </c>
      <c r="H78" s="65">
        <f>Table21[[#This Row],[monhly installment]]-Table21[[#This Row],[interest]]</f>
        <v>473.87494740265339</v>
      </c>
      <c r="I78" s="52">
        <f>Table21[[#This Row],[opening balance]]-Table21[[#This Row],[principal paid]]</f>
        <v>15771.637513716112</v>
      </c>
    </row>
    <row r="79" spans="4:9">
      <c r="D79">
        <f t="shared" si="7"/>
        <v>77</v>
      </c>
      <c r="E79" s="52">
        <f t="shared" si="8"/>
        <v>15771.637513716112</v>
      </c>
      <c r="F79" s="1">
        <f t="shared" si="9"/>
        <v>555.10250970824723</v>
      </c>
      <c r="G79" s="65">
        <f>(6%/12)*Table21[[#This Row],[opening balance]]</f>
        <v>78.858187568580561</v>
      </c>
      <c r="H79" s="65">
        <f>Table21[[#This Row],[monhly installment]]-Table21[[#This Row],[interest]]</f>
        <v>476.24432213966668</v>
      </c>
      <c r="I79" s="52">
        <f>Table21[[#This Row],[opening balance]]-Table21[[#This Row],[principal paid]]</f>
        <v>15295.393191576446</v>
      </c>
    </row>
    <row r="80" spans="4:9">
      <c r="D80">
        <f t="shared" si="7"/>
        <v>78</v>
      </c>
      <c r="E80" s="52">
        <f t="shared" si="8"/>
        <v>15295.393191576446</v>
      </c>
      <c r="F80" s="1">
        <f t="shared" si="9"/>
        <v>555.10250970824723</v>
      </c>
      <c r="G80" s="65">
        <f>(6%/12)*Table21[[#This Row],[opening balance]]</f>
        <v>76.476965957882229</v>
      </c>
      <c r="H80" s="65">
        <f>Table21[[#This Row],[monhly installment]]-Table21[[#This Row],[interest]]</f>
        <v>478.62554375036501</v>
      </c>
      <c r="I80" s="52">
        <f>Table21[[#This Row],[opening balance]]-Table21[[#This Row],[principal paid]]</f>
        <v>14816.767647826082</v>
      </c>
    </row>
    <row r="81" spans="4:9">
      <c r="D81">
        <f t="shared" si="7"/>
        <v>79</v>
      </c>
      <c r="E81" s="52">
        <f t="shared" si="8"/>
        <v>14816.767647826082</v>
      </c>
      <c r="F81" s="1">
        <f t="shared" si="9"/>
        <v>555.10250970824723</v>
      </c>
      <c r="G81" s="65">
        <f>(6%/12)*Table21[[#This Row],[opening balance]]</f>
        <v>74.083838239130415</v>
      </c>
      <c r="H81" s="65">
        <f>Table21[[#This Row],[monhly installment]]-Table21[[#This Row],[interest]]</f>
        <v>481.01867146911684</v>
      </c>
      <c r="I81" s="52">
        <f>Table21[[#This Row],[opening balance]]-Table21[[#This Row],[principal paid]]</f>
        <v>14335.748976356965</v>
      </c>
    </row>
    <row r="82" spans="4:9">
      <c r="D82">
        <f t="shared" si="7"/>
        <v>80</v>
      </c>
      <c r="E82" s="52">
        <f t="shared" si="8"/>
        <v>14335.748976356965</v>
      </c>
      <c r="F82" s="1">
        <f t="shared" si="9"/>
        <v>555.10250970824723</v>
      </c>
      <c r="G82" s="65">
        <f>(6%/12)*Table21[[#This Row],[opening balance]]</f>
        <v>71.678744881784823</v>
      </c>
      <c r="H82" s="65">
        <f>Table21[[#This Row],[monhly installment]]-Table21[[#This Row],[interest]]</f>
        <v>483.42376482646239</v>
      </c>
      <c r="I82" s="52">
        <f>Table21[[#This Row],[opening balance]]-Table21[[#This Row],[principal paid]]</f>
        <v>13852.325211530502</v>
      </c>
    </row>
    <row r="83" spans="4:9">
      <c r="D83">
        <f t="shared" si="7"/>
        <v>81</v>
      </c>
      <c r="E83" s="52">
        <f t="shared" si="8"/>
        <v>13852.325211530502</v>
      </c>
      <c r="F83" s="1">
        <f t="shared" si="9"/>
        <v>555.10250970824723</v>
      </c>
      <c r="G83" s="65">
        <f>(6%/12)*Table21[[#This Row],[opening balance]]</f>
        <v>69.261626057652506</v>
      </c>
      <c r="H83" s="65">
        <f>Table21[[#This Row],[monhly installment]]-Table21[[#This Row],[interest]]</f>
        <v>485.84088365059472</v>
      </c>
      <c r="I83" s="52">
        <f>Table21[[#This Row],[opening balance]]-Table21[[#This Row],[principal paid]]</f>
        <v>13366.484327879907</v>
      </c>
    </row>
    <row r="84" spans="4:9">
      <c r="D84">
        <f t="shared" si="7"/>
        <v>82</v>
      </c>
      <c r="E84" s="52">
        <f t="shared" si="8"/>
        <v>13366.484327879907</v>
      </c>
      <c r="F84" s="1">
        <f t="shared" si="9"/>
        <v>555.10250970824723</v>
      </c>
      <c r="G84" s="65">
        <f>(6%/12)*Table21[[#This Row],[opening balance]]</f>
        <v>66.832421639399541</v>
      </c>
      <c r="H84" s="65">
        <f>Table21[[#This Row],[monhly installment]]-Table21[[#This Row],[interest]]</f>
        <v>488.27008806884771</v>
      </c>
      <c r="I84" s="52">
        <f>Table21[[#This Row],[opening balance]]-Table21[[#This Row],[principal paid]]</f>
        <v>12878.214239811059</v>
      </c>
    </row>
    <row r="85" spans="4:9">
      <c r="D85">
        <f t="shared" si="7"/>
        <v>83</v>
      </c>
      <c r="E85" s="52">
        <f t="shared" si="8"/>
        <v>12878.214239811059</v>
      </c>
      <c r="F85" s="1">
        <f t="shared" si="9"/>
        <v>555.10250970824723</v>
      </c>
      <c r="G85" s="65">
        <f>(6%/12)*Table21[[#This Row],[opening balance]]</f>
        <v>64.39107119905529</v>
      </c>
      <c r="H85" s="65">
        <f>Table21[[#This Row],[monhly installment]]-Table21[[#This Row],[interest]]</f>
        <v>490.71143850919191</v>
      </c>
      <c r="I85" s="52">
        <f>Table21[[#This Row],[opening balance]]-Table21[[#This Row],[principal paid]]</f>
        <v>12387.502801301867</v>
      </c>
    </row>
    <row r="86" spans="4:9">
      <c r="D86">
        <f t="shared" si="7"/>
        <v>84</v>
      </c>
      <c r="E86" s="52">
        <f t="shared" si="8"/>
        <v>12387.502801301867</v>
      </c>
      <c r="F86" s="1">
        <f t="shared" si="9"/>
        <v>555.10250970824723</v>
      </c>
      <c r="G86" s="65">
        <f>(6%/12)*Table21[[#This Row],[opening balance]]</f>
        <v>61.937514006509339</v>
      </c>
      <c r="H86" s="65">
        <f>Table21[[#This Row],[monhly installment]]-Table21[[#This Row],[interest]]</f>
        <v>493.16499570173789</v>
      </c>
      <c r="I86" s="52">
        <f>Table21[[#This Row],[opening balance]]-Table21[[#This Row],[principal paid]]</f>
        <v>11894.337805600129</v>
      </c>
    </row>
    <row r="87" spans="4:9">
      <c r="D87">
        <f t="shared" si="7"/>
        <v>85</v>
      </c>
      <c r="E87" s="52">
        <f t="shared" si="8"/>
        <v>11894.337805600129</v>
      </c>
      <c r="F87" s="1">
        <f t="shared" si="9"/>
        <v>555.10250970824723</v>
      </c>
      <c r="G87" s="65">
        <f>(6%/12)*Table21[[#This Row],[opening balance]]</f>
        <v>59.471689028000647</v>
      </c>
      <c r="H87" s="65">
        <f>Table21[[#This Row],[monhly installment]]-Table21[[#This Row],[interest]]</f>
        <v>495.63082068024659</v>
      </c>
      <c r="I87" s="52">
        <f>Table21[[#This Row],[opening balance]]-Table21[[#This Row],[principal paid]]</f>
        <v>11398.706984919883</v>
      </c>
    </row>
    <row r="88" spans="4:9">
      <c r="D88">
        <f t="shared" si="7"/>
        <v>86</v>
      </c>
      <c r="E88" s="52">
        <f t="shared" si="8"/>
        <v>11398.706984919883</v>
      </c>
      <c r="F88" s="1">
        <f t="shared" si="9"/>
        <v>555.10250970824723</v>
      </c>
      <c r="G88" s="65">
        <f>(6%/12)*Table21[[#This Row],[opening balance]]</f>
        <v>56.993534924599416</v>
      </c>
      <c r="H88" s="65">
        <f>Table21[[#This Row],[monhly installment]]-Table21[[#This Row],[interest]]</f>
        <v>498.1089747836478</v>
      </c>
      <c r="I88" s="52">
        <f>Table21[[#This Row],[opening balance]]-Table21[[#This Row],[principal paid]]</f>
        <v>10900.598010136235</v>
      </c>
    </row>
    <row r="89" spans="4:9">
      <c r="D89">
        <f t="shared" si="7"/>
        <v>87</v>
      </c>
      <c r="E89" s="52">
        <f t="shared" si="8"/>
        <v>10900.598010136235</v>
      </c>
      <c r="F89" s="1">
        <f t="shared" si="9"/>
        <v>555.10250970824723</v>
      </c>
      <c r="G89" s="65">
        <f>(6%/12)*Table21[[#This Row],[opening balance]]</f>
        <v>54.502990050681177</v>
      </c>
      <c r="H89" s="65">
        <f>Table21[[#This Row],[monhly installment]]-Table21[[#This Row],[interest]]</f>
        <v>500.59951965756602</v>
      </c>
      <c r="I89" s="52">
        <f>Table21[[#This Row],[opening balance]]-Table21[[#This Row],[principal paid]]</f>
        <v>10399.998490478669</v>
      </c>
    </row>
    <row r="90" spans="4:9">
      <c r="D90">
        <f t="shared" si="7"/>
        <v>88</v>
      </c>
      <c r="E90" s="52">
        <f t="shared" si="8"/>
        <v>10399.998490478669</v>
      </c>
      <c r="F90" s="1">
        <f t="shared" si="9"/>
        <v>555.10250970824723</v>
      </c>
      <c r="G90" s="65">
        <f>(6%/12)*Table21[[#This Row],[opening balance]]</f>
        <v>51.999992452393343</v>
      </c>
      <c r="H90" s="65">
        <f>Table21[[#This Row],[monhly installment]]-Table21[[#This Row],[interest]]</f>
        <v>503.10251725585385</v>
      </c>
      <c r="I90" s="52">
        <f>Table21[[#This Row],[opening balance]]-Table21[[#This Row],[principal paid]]</f>
        <v>9896.8959732228141</v>
      </c>
    </row>
    <row r="91" spans="4:9">
      <c r="D91">
        <f t="shared" si="7"/>
        <v>89</v>
      </c>
      <c r="E91" s="52">
        <f t="shared" si="8"/>
        <v>9896.8959732228141</v>
      </c>
      <c r="F91" s="1">
        <f t="shared" si="9"/>
        <v>555.10250970824723</v>
      </c>
      <c r="G91" s="65">
        <f>(6%/12)*Table21[[#This Row],[opening balance]]</f>
        <v>49.484479866114071</v>
      </c>
      <c r="H91" s="65">
        <f>Table21[[#This Row],[monhly installment]]-Table21[[#This Row],[interest]]</f>
        <v>505.61802984213318</v>
      </c>
      <c r="I91" s="52">
        <f>Table21[[#This Row],[opening balance]]-Table21[[#This Row],[principal paid]]</f>
        <v>9391.2779433806809</v>
      </c>
    </row>
    <row r="92" spans="4:9">
      <c r="D92">
        <f t="shared" si="7"/>
        <v>90</v>
      </c>
      <c r="E92" s="52">
        <f t="shared" si="8"/>
        <v>9391.2779433806809</v>
      </c>
      <c r="F92" s="1">
        <f t="shared" si="9"/>
        <v>555.10250970824723</v>
      </c>
      <c r="G92" s="65">
        <f>(6%/12)*Table21[[#This Row],[opening balance]]</f>
        <v>46.956389716903402</v>
      </c>
      <c r="H92" s="65">
        <f>Table21[[#This Row],[monhly installment]]-Table21[[#This Row],[interest]]</f>
        <v>508.14611999134382</v>
      </c>
      <c r="I92" s="52">
        <f>Table21[[#This Row],[opening balance]]-Table21[[#This Row],[principal paid]]</f>
        <v>8883.1318233893362</v>
      </c>
    </row>
    <row r="93" spans="4:9">
      <c r="D93">
        <f t="shared" si="7"/>
        <v>91</v>
      </c>
      <c r="E93" s="52">
        <f t="shared" si="8"/>
        <v>8883.1318233893362</v>
      </c>
      <c r="F93" s="1">
        <f t="shared" si="9"/>
        <v>555.10250970824723</v>
      </c>
      <c r="G93" s="65">
        <f>(6%/12)*Table21[[#This Row],[opening balance]]</f>
        <v>44.415659116946685</v>
      </c>
      <c r="H93" s="65">
        <f>Table21[[#This Row],[monhly installment]]-Table21[[#This Row],[interest]]</f>
        <v>510.68685059130053</v>
      </c>
      <c r="I93" s="52">
        <f>Table21[[#This Row],[opening balance]]-Table21[[#This Row],[principal paid]]</f>
        <v>8372.4449727980355</v>
      </c>
    </row>
    <row r="94" spans="4:9">
      <c r="D94">
        <f t="shared" si="7"/>
        <v>92</v>
      </c>
      <c r="E94" s="52">
        <f t="shared" si="8"/>
        <v>8372.4449727980355</v>
      </c>
      <c r="F94" s="1">
        <f t="shared" si="9"/>
        <v>555.10250970824723</v>
      </c>
      <c r="G94" s="65">
        <f>(6%/12)*Table21[[#This Row],[opening balance]]</f>
        <v>41.862224863990178</v>
      </c>
      <c r="H94" s="65">
        <f>Table21[[#This Row],[monhly installment]]-Table21[[#This Row],[interest]]</f>
        <v>513.24028484425708</v>
      </c>
      <c r="I94" s="52">
        <f>Table21[[#This Row],[opening balance]]-Table21[[#This Row],[principal paid]]</f>
        <v>7859.2046879537784</v>
      </c>
    </row>
    <row r="95" spans="4:9">
      <c r="D95">
        <f t="shared" si="7"/>
        <v>93</v>
      </c>
      <c r="E95" s="52">
        <f t="shared" ref="E95:E122" si="10">I94</f>
        <v>7859.2046879537784</v>
      </c>
      <c r="F95" s="1">
        <f t="shared" ref="F95:F122" si="11">$B$6</f>
        <v>555.10250970824723</v>
      </c>
      <c r="G95" s="65">
        <f>(6%/12)*Table21[[#This Row],[opening balance]]</f>
        <v>39.296023439768895</v>
      </c>
      <c r="H95" s="65">
        <f>Table21[[#This Row],[monhly installment]]-Table21[[#This Row],[interest]]</f>
        <v>515.80648626847835</v>
      </c>
      <c r="I95" s="52">
        <f>Table21[[#This Row],[opening balance]]-Table21[[#This Row],[principal paid]]</f>
        <v>7343.3982016852997</v>
      </c>
    </row>
    <row r="96" spans="4:9">
      <c r="D96">
        <f t="shared" si="7"/>
        <v>94</v>
      </c>
      <c r="E96" s="52">
        <f t="shared" si="10"/>
        <v>7343.3982016852997</v>
      </c>
      <c r="F96" s="1">
        <f t="shared" si="11"/>
        <v>555.10250970824723</v>
      </c>
      <c r="G96" s="65">
        <f>(6%/12)*Table21[[#This Row],[opening balance]]</f>
        <v>36.716991008426497</v>
      </c>
      <c r="H96" s="65">
        <f>Table21[[#This Row],[monhly installment]]-Table21[[#This Row],[interest]]</f>
        <v>518.38551869982075</v>
      </c>
      <c r="I96" s="52">
        <f>Table21[[#This Row],[opening balance]]-Table21[[#This Row],[principal paid]]</f>
        <v>6825.0126829854789</v>
      </c>
    </row>
    <row r="97" spans="4:9">
      <c r="D97">
        <f t="shared" si="7"/>
        <v>95</v>
      </c>
      <c r="E97" s="52">
        <f t="shared" si="10"/>
        <v>6825.0126829854789</v>
      </c>
      <c r="F97" s="1">
        <f t="shared" si="11"/>
        <v>555.10250970824723</v>
      </c>
      <c r="G97" s="65">
        <f>(6%/12)*Table21[[#This Row],[opening balance]]</f>
        <v>34.125063414927396</v>
      </c>
      <c r="H97" s="65">
        <f>Table21[[#This Row],[monhly installment]]-Table21[[#This Row],[interest]]</f>
        <v>520.97744629331987</v>
      </c>
      <c r="I97" s="52">
        <f>Table21[[#This Row],[opening balance]]-Table21[[#This Row],[principal paid]]</f>
        <v>6304.0352366921588</v>
      </c>
    </row>
    <row r="98" spans="4:9">
      <c r="D98">
        <f t="shared" si="7"/>
        <v>96</v>
      </c>
      <c r="E98" s="52">
        <f t="shared" si="10"/>
        <v>6304.0352366921588</v>
      </c>
      <c r="F98" s="1">
        <f t="shared" si="11"/>
        <v>555.10250970824723</v>
      </c>
      <c r="G98" s="65">
        <f>(6%/12)*Table21[[#This Row],[opening balance]]</f>
        <v>31.520176183460794</v>
      </c>
      <c r="H98" s="65">
        <f>Table21[[#This Row],[monhly installment]]-Table21[[#This Row],[interest]]</f>
        <v>523.58233352478646</v>
      </c>
      <c r="I98" s="52">
        <f>Table21[[#This Row],[opening balance]]-Table21[[#This Row],[principal paid]]</f>
        <v>5780.4529031673719</v>
      </c>
    </row>
    <row r="99" spans="4:9">
      <c r="D99">
        <f t="shared" si="7"/>
        <v>97</v>
      </c>
      <c r="E99" s="52">
        <f t="shared" si="10"/>
        <v>5780.4529031673719</v>
      </c>
      <c r="F99" s="1">
        <f t="shared" si="11"/>
        <v>555.10250970824723</v>
      </c>
      <c r="G99" s="65">
        <f>(6%/12)*Table21[[#This Row],[opening balance]]</f>
        <v>28.902264515836862</v>
      </c>
      <c r="H99" s="65">
        <f>Table21[[#This Row],[monhly installment]]-Table21[[#This Row],[interest]]</f>
        <v>526.20024519241042</v>
      </c>
      <c r="I99" s="52">
        <f>Table21[[#This Row],[opening balance]]-Table21[[#This Row],[principal paid]]</f>
        <v>5254.252657974961</v>
      </c>
    </row>
    <row r="100" spans="4:9">
      <c r="D100">
        <f t="shared" si="7"/>
        <v>98</v>
      </c>
      <c r="E100" s="52">
        <f t="shared" si="10"/>
        <v>5254.252657974961</v>
      </c>
      <c r="F100" s="1">
        <f t="shared" si="11"/>
        <v>555.10250970824723</v>
      </c>
      <c r="G100" s="65">
        <f>(6%/12)*Table21[[#This Row],[opening balance]]</f>
        <v>26.271263289874806</v>
      </c>
      <c r="H100" s="65">
        <f>Table21[[#This Row],[monhly installment]]-Table21[[#This Row],[interest]]</f>
        <v>528.83124641837242</v>
      </c>
      <c r="I100" s="52">
        <f>Table21[[#This Row],[opening balance]]-Table21[[#This Row],[principal paid]]</f>
        <v>4725.4214115565883</v>
      </c>
    </row>
    <row r="101" spans="4:9">
      <c r="D101">
        <f t="shared" si="7"/>
        <v>99</v>
      </c>
      <c r="E101" s="52">
        <f t="shared" si="10"/>
        <v>4725.4214115565883</v>
      </c>
      <c r="F101" s="1">
        <f t="shared" si="11"/>
        <v>555.10250970824723</v>
      </c>
      <c r="G101" s="65">
        <f>(6%/12)*Table21[[#This Row],[opening balance]]</f>
        <v>23.627107057782943</v>
      </c>
      <c r="H101" s="65">
        <f>Table21[[#This Row],[monhly installment]]-Table21[[#This Row],[interest]]</f>
        <v>531.47540265046428</v>
      </c>
      <c r="I101" s="52">
        <f>Table21[[#This Row],[opening balance]]-Table21[[#This Row],[principal paid]]</f>
        <v>4193.946008906124</v>
      </c>
    </row>
    <row r="102" spans="4:9">
      <c r="D102">
        <f t="shared" si="7"/>
        <v>100</v>
      </c>
      <c r="E102" s="52">
        <f t="shared" si="10"/>
        <v>4193.946008906124</v>
      </c>
      <c r="F102" s="1">
        <f t="shared" si="11"/>
        <v>555.10250970824723</v>
      </c>
      <c r="G102" s="65">
        <f>(6%/12)*Table21[[#This Row],[opening balance]]</f>
        <v>20.969730044530621</v>
      </c>
      <c r="H102" s="65">
        <f>Table21[[#This Row],[monhly installment]]-Table21[[#This Row],[interest]]</f>
        <v>534.13277966371663</v>
      </c>
      <c r="I102" s="52">
        <f>Table21[[#This Row],[opening balance]]-Table21[[#This Row],[principal paid]]</f>
        <v>3659.8132292424075</v>
      </c>
    </row>
    <row r="103" spans="4:9">
      <c r="D103">
        <f t="shared" si="7"/>
        <v>101</v>
      </c>
      <c r="E103" s="52">
        <f t="shared" si="10"/>
        <v>3659.8132292424075</v>
      </c>
      <c r="F103" s="1">
        <f t="shared" si="11"/>
        <v>555.10250970824723</v>
      </c>
      <c r="G103" s="65">
        <f>(6%/12)*Table21[[#This Row],[opening balance]]</f>
        <v>18.299066146212038</v>
      </c>
      <c r="H103" s="65">
        <f>Table21[[#This Row],[monhly installment]]-Table21[[#This Row],[interest]]</f>
        <v>536.80344356203523</v>
      </c>
      <c r="I103" s="52">
        <f>Table21[[#This Row],[opening balance]]-Table21[[#This Row],[principal paid]]</f>
        <v>3123.0097856803723</v>
      </c>
    </row>
    <row r="104" spans="4:9">
      <c r="D104">
        <f t="shared" si="7"/>
        <v>102</v>
      </c>
      <c r="E104" s="52">
        <f t="shared" si="10"/>
        <v>3123.0097856803723</v>
      </c>
      <c r="F104" s="1">
        <f t="shared" si="11"/>
        <v>555.10250970824723</v>
      </c>
      <c r="G104" s="65">
        <f>(6%/12)*Table21[[#This Row],[opening balance]]</f>
        <v>15.615048928401862</v>
      </c>
      <c r="H104" s="65">
        <f>Table21[[#This Row],[monhly installment]]-Table21[[#This Row],[interest]]</f>
        <v>539.48746077984538</v>
      </c>
      <c r="I104" s="52">
        <f>Table21[[#This Row],[opening balance]]-Table21[[#This Row],[principal paid]]</f>
        <v>2583.5223249005267</v>
      </c>
    </row>
    <row r="105" spans="4:9">
      <c r="D105">
        <f t="shared" si="7"/>
        <v>103</v>
      </c>
      <c r="E105" s="52">
        <f t="shared" si="10"/>
        <v>2583.5223249005267</v>
      </c>
      <c r="F105" s="1">
        <f t="shared" si="11"/>
        <v>555.10250970824723</v>
      </c>
      <c r="G105" s="65">
        <f>(6%/12)*Table21[[#This Row],[opening balance]]</f>
        <v>12.917611624502634</v>
      </c>
      <c r="H105" s="65">
        <f>Table21[[#This Row],[monhly installment]]-Table21[[#This Row],[interest]]</f>
        <v>542.18489808374454</v>
      </c>
      <c r="I105" s="52">
        <f>Table21[[#This Row],[opening balance]]-Table21[[#This Row],[principal paid]]</f>
        <v>2041.3374268167822</v>
      </c>
    </row>
    <row r="106" spans="4:9">
      <c r="D106">
        <f t="shared" si="7"/>
        <v>104</v>
      </c>
      <c r="E106" s="52">
        <f t="shared" si="10"/>
        <v>2041.3374268167822</v>
      </c>
      <c r="F106" s="1">
        <f t="shared" si="11"/>
        <v>555.10250970824723</v>
      </c>
      <c r="G106" s="65">
        <f>(6%/12)*Table21[[#This Row],[opening balance]]</f>
        <v>10.206687134083911</v>
      </c>
      <c r="H106" s="65">
        <f>Table21[[#This Row],[monhly installment]]-Table21[[#This Row],[interest]]</f>
        <v>544.89582257416328</v>
      </c>
      <c r="I106" s="52">
        <f>Table21[[#This Row],[opening balance]]-Table21[[#This Row],[principal paid]]</f>
        <v>1496.441604242619</v>
      </c>
    </row>
    <row r="107" spans="4:9">
      <c r="D107">
        <f t="shared" si="7"/>
        <v>105</v>
      </c>
      <c r="E107" s="52">
        <f t="shared" si="10"/>
        <v>1496.441604242619</v>
      </c>
      <c r="F107" s="1">
        <f t="shared" si="11"/>
        <v>555.10250970824723</v>
      </c>
      <c r="G107" s="65">
        <f>(6%/12)*Table21[[#This Row],[opening balance]]</f>
        <v>7.4822080212130953</v>
      </c>
      <c r="H107" s="65">
        <f>Table21[[#This Row],[monhly installment]]-Table21[[#This Row],[interest]]</f>
        <v>547.62030168703416</v>
      </c>
      <c r="I107" s="52">
        <f>Table21[[#This Row],[opening balance]]-Table21[[#This Row],[principal paid]]</f>
        <v>948.82130255558479</v>
      </c>
    </row>
    <row r="108" spans="4:9">
      <c r="D108">
        <f t="shared" si="7"/>
        <v>106</v>
      </c>
      <c r="E108" s="52">
        <f t="shared" si="10"/>
        <v>948.82130255558479</v>
      </c>
      <c r="F108" s="1">
        <f t="shared" si="11"/>
        <v>555.10250970824723</v>
      </c>
      <c r="G108" s="65">
        <f>(6%/12)*Table21[[#This Row],[opening balance]]</f>
        <v>4.7441065127779245</v>
      </c>
      <c r="H108" s="65">
        <f>Table21[[#This Row],[monhly installment]]-Table21[[#This Row],[interest]]</f>
        <v>550.35840319546935</v>
      </c>
      <c r="I108" s="52">
        <f>Table21[[#This Row],[opening balance]]-Table21[[#This Row],[principal paid]]</f>
        <v>398.46289936011544</v>
      </c>
    </row>
    <row r="109" spans="4:9">
      <c r="D109" s="74">
        <f t="shared" si="7"/>
        <v>107</v>
      </c>
      <c r="E109" s="75">
        <f t="shared" si="10"/>
        <v>398.46289936011544</v>
      </c>
      <c r="F109" s="76">
        <f t="shared" si="11"/>
        <v>555.10250970824723</v>
      </c>
      <c r="G109" s="77">
        <f>(6%/12)*Table21[[#This Row],[opening balance]]</f>
        <v>1.9923144968005773</v>
      </c>
      <c r="H109" s="77">
        <f>Table21[[#This Row],[monhly installment]]-Table21[[#This Row],[interest]]</f>
        <v>553.11019521144669</v>
      </c>
      <c r="I109" s="75">
        <f>Table21[[#This Row],[opening balance]]-Table21[[#This Row],[principal paid]]</f>
        <v>-154.64729585133125</v>
      </c>
    </row>
    <row r="110" spans="4:9">
      <c r="D110" s="74">
        <f t="shared" si="7"/>
        <v>108</v>
      </c>
      <c r="E110" s="75">
        <f t="shared" si="10"/>
        <v>-154.64729585133125</v>
      </c>
      <c r="F110" s="76">
        <f t="shared" si="11"/>
        <v>555.10250970824723</v>
      </c>
      <c r="G110" s="77">
        <f>(6%/12)*Table21[[#This Row],[opening balance]]</f>
        <v>-0.77323647925665628</v>
      </c>
      <c r="H110" s="77">
        <f>Table21[[#This Row],[monhly installment]]-Table21[[#This Row],[interest]]</f>
        <v>555.87574618750386</v>
      </c>
      <c r="I110" s="75">
        <f>Table21[[#This Row],[opening balance]]-Table21[[#This Row],[principal paid]]</f>
        <v>-710.52304203883511</v>
      </c>
    </row>
    <row r="111" spans="4:9">
      <c r="D111" s="74">
        <f t="shared" si="7"/>
        <v>109</v>
      </c>
      <c r="E111" s="75">
        <f t="shared" si="10"/>
        <v>-710.52304203883511</v>
      </c>
      <c r="F111" s="76">
        <f t="shared" si="11"/>
        <v>555.10250970824723</v>
      </c>
      <c r="G111" s="77">
        <f>(6%/12)*Table21[[#This Row],[opening balance]]</f>
        <v>-3.5526152101941757</v>
      </c>
      <c r="H111" s="77">
        <f>Table21[[#This Row],[monhly installment]]-Table21[[#This Row],[interest]]</f>
        <v>558.6551249184414</v>
      </c>
      <c r="I111" s="75">
        <f>Table21[[#This Row],[opening balance]]-Table21[[#This Row],[principal paid]]</f>
        <v>-1269.1781669572765</v>
      </c>
    </row>
    <row r="112" spans="4:9">
      <c r="D112" s="74">
        <f t="shared" si="7"/>
        <v>110</v>
      </c>
      <c r="E112" s="75">
        <f t="shared" si="10"/>
        <v>-1269.1781669572765</v>
      </c>
      <c r="F112" s="76">
        <f t="shared" si="11"/>
        <v>555.10250970824723</v>
      </c>
      <c r="G112" s="77">
        <f>(6%/12)*Table21[[#This Row],[opening balance]]</f>
        <v>-6.3458908347863829</v>
      </c>
      <c r="H112" s="77">
        <f>Table21[[#This Row],[monhly installment]]-Table21[[#This Row],[interest]]</f>
        <v>561.44840054303359</v>
      </c>
      <c r="I112" s="75">
        <f>Table21[[#This Row],[opening balance]]-Table21[[#This Row],[principal paid]]</f>
        <v>-1830.6265675003101</v>
      </c>
    </row>
    <row r="113" spans="4:9">
      <c r="D113" s="74">
        <f t="shared" si="7"/>
        <v>111</v>
      </c>
      <c r="E113" s="75">
        <f t="shared" si="10"/>
        <v>-1830.6265675003101</v>
      </c>
      <c r="F113" s="76">
        <f t="shared" si="11"/>
        <v>555.10250970824723</v>
      </c>
      <c r="G113" s="77">
        <f>(6%/12)*Table21[[#This Row],[opening balance]]</f>
        <v>-9.1531328375015502</v>
      </c>
      <c r="H113" s="77">
        <f>Table21[[#This Row],[monhly installment]]-Table21[[#This Row],[interest]]</f>
        <v>564.25564254574874</v>
      </c>
      <c r="I113" s="75">
        <f>Table21[[#This Row],[opening balance]]-Table21[[#This Row],[principal paid]]</f>
        <v>-2394.8822100460588</v>
      </c>
    </row>
    <row r="114" spans="4:9">
      <c r="D114" s="74">
        <f t="shared" si="7"/>
        <v>112</v>
      </c>
      <c r="E114" s="75">
        <f t="shared" si="10"/>
        <v>-2394.8822100460588</v>
      </c>
      <c r="F114" s="76">
        <f t="shared" si="11"/>
        <v>555.10250970824723</v>
      </c>
      <c r="G114" s="77">
        <f>(6%/12)*Table21[[#This Row],[opening balance]]</f>
        <v>-11.974411050230295</v>
      </c>
      <c r="H114" s="77">
        <f>Table21[[#This Row],[monhly installment]]-Table21[[#This Row],[interest]]</f>
        <v>567.07692075847751</v>
      </c>
      <c r="I114" s="75">
        <f>Table21[[#This Row],[opening balance]]-Table21[[#This Row],[principal paid]]</f>
        <v>-2961.9591308045365</v>
      </c>
    </row>
    <row r="115" spans="4:9">
      <c r="D115" s="74">
        <f t="shared" si="7"/>
        <v>113</v>
      </c>
      <c r="E115" s="75">
        <f t="shared" si="10"/>
        <v>-2961.9591308045365</v>
      </c>
      <c r="F115" s="76">
        <f t="shared" si="11"/>
        <v>555.10250970824723</v>
      </c>
      <c r="G115" s="77">
        <f>(6%/12)*Table21[[#This Row],[opening balance]]</f>
        <v>-14.809795654022682</v>
      </c>
      <c r="H115" s="77">
        <f>Table21[[#This Row],[monhly installment]]-Table21[[#This Row],[interest]]</f>
        <v>569.91230536226988</v>
      </c>
      <c r="I115" s="75">
        <f>Table21[[#This Row],[opening balance]]-Table21[[#This Row],[principal paid]]</f>
        <v>-3531.8714361668062</v>
      </c>
    </row>
    <row r="116" spans="4:9">
      <c r="D116" s="74">
        <f t="shared" si="7"/>
        <v>114</v>
      </c>
      <c r="E116" s="75">
        <f t="shared" si="10"/>
        <v>-3531.8714361668062</v>
      </c>
      <c r="F116" s="76">
        <f t="shared" si="11"/>
        <v>555.10250970824723</v>
      </c>
      <c r="G116" s="77">
        <f>(6%/12)*Table21[[#This Row],[opening balance]]</f>
        <v>-17.659357180834032</v>
      </c>
      <c r="H116" s="77">
        <f>Table21[[#This Row],[monhly installment]]-Table21[[#This Row],[interest]]</f>
        <v>572.76186688908126</v>
      </c>
      <c r="I116" s="75">
        <f>Table21[[#This Row],[opening balance]]-Table21[[#This Row],[principal paid]]</f>
        <v>-4104.6333030558872</v>
      </c>
    </row>
    <row r="117" spans="4:9">
      <c r="D117" s="74">
        <f t="shared" si="7"/>
        <v>115</v>
      </c>
      <c r="E117" s="75">
        <f t="shared" si="10"/>
        <v>-4104.6333030558872</v>
      </c>
      <c r="F117" s="76">
        <f t="shared" si="11"/>
        <v>555.10250970824723</v>
      </c>
      <c r="G117" s="77">
        <f>(6%/12)*Table21[[#This Row],[opening balance]]</f>
        <v>-20.523166515279435</v>
      </c>
      <c r="H117" s="77">
        <f>Table21[[#This Row],[monhly installment]]-Table21[[#This Row],[interest]]</f>
        <v>575.62567622352663</v>
      </c>
      <c r="I117" s="75">
        <f>Table21[[#This Row],[opening balance]]-Table21[[#This Row],[principal paid]]</f>
        <v>-4680.2589792794133</v>
      </c>
    </row>
    <row r="118" spans="4:9">
      <c r="D118" s="74">
        <f t="shared" si="7"/>
        <v>116</v>
      </c>
      <c r="E118" s="75">
        <f t="shared" si="10"/>
        <v>-4680.2589792794133</v>
      </c>
      <c r="F118" s="76">
        <f t="shared" si="11"/>
        <v>555.10250970824723</v>
      </c>
      <c r="G118" s="77">
        <f>(6%/12)*Table21[[#This Row],[opening balance]]</f>
        <v>-23.401294896397069</v>
      </c>
      <c r="H118" s="77">
        <f>Table21[[#This Row],[monhly installment]]-Table21[[#This Row],[interest]]</f>
        <v>578.5038046046443</v>
      </c>
      <c r="I118" s="75">
        <f>Table21[[#This Row],[opening balance]]-Table21[[#This Row],[principal paid]]</f>
        <v>-5258.7627838840581</v>
      </c>
    </row>
    <row r="119" spans="4:9">
      <c r="D119" s="74">
        <f t="shared" si="7"/>
        <v>117</v>
      </c>
      <c r="E119" s="75">
        <f t="shared" si="10"/>
        <v>-5258.7627838840581</v>
      </c>
      <c r="F119" s="76">
        <f t="shared" si="11"/>
        <v>555.10250970824723</v>
      </c>
      <c r="G119" s="77">
        <f>(6%/12)*Table21[[#This Row],[opening balance]]</f>
        <v>-26.293813919420291</v>
      </c>
      <c r="H119" s="77">
        <f>Table21[[#This Row],[monhly installment]]-Table21[[#This Row],[interest]]</f>
        <v>581.39632362766747</v>
      </c>
      <c r="I119" s="75">
        <f>Table21[[#This Row],[opening balance]]-Table21[[#This Row],[principal paid]]</f>
        <v>-5840.1591075117258</v>
      </c>
    </row>
    <row r="120" spans="4:9">
      <c r="D120" s="74">
        <f t="shared" si="7"/>
        <v>118</v>
      </c>
      <c r="E120" s="75">
        <f t="shared" si="10"/>
        <v>-5840.1591075117258</v>
      </c>
      <c r="F120" s="76">
        <f t="shared" si="11"/>
        <v>555.10250970824723</v>
      </c>
      <c r="G120" s="77">
        <f>(6%/12)*Table21[[#This Row],[opening balance]]</f>
        <v>-29.20079553755863</v>
      </c>
      <c r="H120" s="77">
        <f>Table21[[#This Row],[monhly installment]]-Table21[[#This Row],[interest]]</f>
        <v>584.30330524580586</v>
      </c>
      <c r="I120" s="75">
        <f>Table21[[#This Row],[opening balance]]-Table21[[#This Row],[principal paid]]</f>
        <v>-6424.4624127575316</v>
      </c>
    </row>
    <row r="121" spans="4:9">
      <c r="D121" s="74">
        <f t="shared" si="7"/>
        <v>119</v>
      </c>
      <c r="E121" s="75">
        <f t="shared" si="10"/>
        <v>-6424.4624127575316</v>
      </c>
      <c r="F121" s="76">
        <f t="shared" si="11"/>
        <v>555.10250970824723</v>
      </c>
      <c r="G121" s="77">
        <f>(6%/12)*Table21[[#This Row],[opening balance]]</f>
        <v>-32.12231206378766</v>
      </c>
      <c r="H121" s="77">
        <f>Table21[[#This Row],[monhly installment]]-Table21[[#This Row],[interest]]</f>
        <v>587.22482177203483</v>
      </c>
      <c r="I121" s="75">
        <f>Table21[[#This Row],[opening balance]]-Table21[[#This Row],[principal paid]]</f>
        <v>-7011.6872345295669</v>
      </c>
    </row>
    <row r="122" spans="4:9">
      <c r="D122" s="74">
        <f t="shared" si="7"/>
        <v>120</v>
      </c>
      <c r="E122" s="75">
        <f t="shared" si="10"/>
        <v>-7011.6872345295669</v>
      </c>
      <c r="F122" s="76">
        <f t="shared" si="11"/>
        <v>555.10250970824723</v>
      </c>
      <c r="G122" s="77">
        <f>(6%/12)*Table21[[#This Row],[opening balance]]</f>
        <v>-35.058436172647838</v>
      </c>
      <c r="H122" s="77">
        <f>Table21[[#This Row],[monhly installment]]-Table21[[#This Row],[interest]]</f>
        <v>590.16094588089504</v>
      </c>
      <c r="I122" s="75">
        <f>Table21[[#This Row],[opening balance]]-Table21[[#This Row],[principal paid]]</f>
        <v>-7601.8481804104622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zoomScale="81" workbookViewId="0">
      <selection activeCell="J184" sqref="J184"/>
    </sheetView>
  </sheetViews>
  <sheetFormatPr defaultRowHeight="14.25"/>
  <cols>
    <col min="1" max="1" width="27.625" bestFit="1" customWidth="1"/>
    <col min="2" max="2" width="14.5" bestFit="1" customWidth="1"/>
    <col min="4" max="4" width="10.125" customWidth="1"/>
    <col min="5" max="5" width="20.125" style="16" bestFit="1" customWidth="1"/>
    <col min="6" max="6" width="20.125" bestFit="1" customWidth="1"/>
    <col min="7" max="7" width="10.125" style="16" customWidth="1"/>
    <col min="8" max="8" width="14.75" style="16" bestFit="1" customWidth="1"/>
    <col min="9" max="9" width="16.75" style="52" bestFit="1" customWidth="1"/>
    <col min="10" max="10" width="10.125" customWidth="1"/>
  </cols>
  <sheetData>
    <row r="1" spans="1:9">
      <c r="A1" t="s">
        <v>59</v>
      </c>
      <c r="B1" t="s">
        <v>60</v>
      </c>
      <c r="D1" t="s">
        <v>57</v>
      </c>
      <c r="E1" s="16" t="s">
        <v>52</v>
      </c>
      <c r="F1" t="s">
        <v>58</v>
      </c>
      <c r="G1" s="16" t="s">
        <v>53</v>
      </c>
      <c r="H1" s="16" t="s">
        <v>55</v>
      </c>
      <c r="I1" s="52" t="s">
        <v>56</v>
      </c>
    </row>
    <row r="2" spans="1:9">
      <c r="A2" t="s">
        <v>61</v>
      </c>
      <c r="B2" s="52">
        <v>250000</v>
      </c>
      <c r="D2">
        <v>0</v>
      </c>
      <c r="F2" s="1"/>
      <c r="I2" s="52">
        <v>250000</v>
      </c>
    </row>
    <row r="3" spans="1:9">
      <c r="A3" t="s">
        <v>62</v>
      </c>
      <c r="B3" s="73">
        <v>0.08</v>
      </c>
      <c r="D3">
        <v>1</v>
      </c>
      <c r="E3" s="16">
        <f t="shared" ref="E2:E17" si="0">I2</f>
        <v>250000</v>
      </c>
      <c r="F3" s="1">
        <f t="shared" ref="F2:F17" si="1">$B$6</f>
        <v>1834.4114346984406</v>
      </c>
      <c r="G3" s="16">
        <f>(8%/12)*Table7[[#This Row],[opening balance]]</f>
        <v>1666.6666666666667</v>
      </c>
      <c r="H3" s="16">
        <f>Table7[[#This Row],[monthly installment]]-Table7[[#This Row],[interest]]</f>
        <v>167.7447680317739</v>
      </c>
      <c r="I3" s="52">
        <f>Table7[[#This Row],[opening balance]]-Table7[[#This Row],[principal paid]]</f>
        <v>249832.25523196821</v>
      </c>
    </row>
    <row r="4" spans="1:9">
      <c r="A4" t="s">
        <v>66</v>
      </c>
      <c r="B4">
        <v>30</v>
      </c>
      <c r="D4">
        <f>D3+1</f>
        <v>2</v>
      </c>
      <c r="E4" s="16">
        <f t="shared" si="0"/>
        <v>249832.25523196821</v>
      </c>
      <c r="F4" s="1">
        <f t="shared" si="1"/>
        <v>1834.4114346984406</v>
      </c>
      <c r="G4" s="16">
        <f>(8%/12)*Table7[[#This Row],[opening balance]]</f>
        <v>1665.5483682131216</v>
      </c>
      <c r="H4" s="16">
        <f>Table7[[#This Row],[monthly installment]]-Table7[[#This Row],[interest]]</f>
        <v>168.863066485319</v>
      </c>
      <c r="I4" s="52">
        <f>Table7[[#This Row],[opening balance]]-Table7[[#This Row],[principal paid]]</f>
        <v>249663.39216548289</v>
      </c>
    </row>
    <row r="5" spans="1:9">
      <c r="A5" t="s">
        <v>67</v>
      </c>
      <c r="B5">
        <f>B4*12</f>
        <v>360</v>
      </c>
      <c r="D5">
        <f t="shared" ref="D5:D68" si="2">D4+1</f>
        <v>3</v>
      </c>
      <c r="E5" s="16">
        <f t="shared" si="0"/>
        <v>249663.39216548289</v>
      </c>
      <c r="F5" s="1">
        <f t="shared" si="1"/>
        <v>1834.4114346984406</v>
      </c>
      <c r="G5" s="16">
        <f>(8%/12)*Table7[[#This Row],[opening balance]]</f>
        <v>1664.4226144365527</v>
      </c>
      <c r="H5" s="16">
        <f>Table7[[#This Row],[monthly installment]]-Table7[[#This Row],[interest]]</f>
        <v>169.98882026188789</v>
      </c>
      <c r="I5" s="52">
        <f>Table7[[#This Row],[opening balance]]-Table7[[#This Row],[principal paid]]</f>
        <v>249493.40334522101</v>
      </c>
    </row>
    <row r="6" spans="1:9">
      <c r="A6" t="s">
        <v>63</v>
      </c>
      <c r="B6" s="1">
        <f>PMT(B3/12,B5,-B2)</f>
        <v>1834.4114346984406</v>
      </c>
      <c r="D6">
        <f t="shared" si="2"/>
        <v>4</v>
      </c>
      <c r="E6" s="16">
        <f t="shared" si="0"/>
        <v>249493.40334522101</v>
      </c>
      <c r="F6" s="1">
        <f t="shared" si="1"/>
        <v>1834.4114346984406</v>
      </c>
      <c r="G6" s="16">
        <f>(8%/12)*Table7[[#This Row],[opening balance]]</f>
        <v>1663.289355634807</v>
      </c>
      <c r="H6" s="16">
        <f>Table7[[#This Row],[monthly installment]]-Table7[[#This Row],[interest]]</f>
        <v>171.12207906363369</v>
      </c>
      <c r="I6" s="52">
        <f>Table7[[#This Row],[opening balance]]-Table7[[#This Row],[principal paid]]</f>
        <v>249322.28126615737</v>
      </c>
    </row>
    <row r="7" spans="1:9">
      <c r="A7" t="s">
        <v>70</v>
      </c>
      <c r="B7" s="1">
        <f>PV(B3/12,B5-(10*12),-B6)</f>
        <v>219311.75976611077</v>
      </c>
      <c r="D7">
        <f t="shared" si="2"/>
        <v>5</v>
      </c>
      <c r="E7" s="16">
        <f t="shared" si="0"/>
        <v>249322.28126615737</v>
      </c>
      <c r="F7" s="1">
        <f t="shared" si="1"/>
        <v>1834.4114346984406</v>
      </c>
      <c r="G7" s="16">
        <f>(8%/12)*Table7[[#This Row],[opening balance]]</f>
        <v>1662.1485417743825</v>
      </c>
      <c r="H7" s="16">
        <f>Table7[[#This Row],[monthly installment]]-Table7[[#This Row],[interest]]</f>
        <v>172.26289292405818</v>
      </c>
      <c r="I7" s="52">
        <f>Table7[[#This Row],[opening balance]]-Table7[[#This Row],[principal paid]]</f>
        <v>249150.01837323332</v>
      </c>
    </row>
    <row r="8" spans="1:9">
      <c r="A8" t="s">
        <v>71</v>
      </c>
      <c r="B8" s="73">
        <v>0.06</v>
      </c>
      <c r="D8">
        <f t="shared" si="2"/>
        <v>6</v>
      </c>
      <c r="E8" s="16">
        <f t="shared" si="0"/>
        <v>249150.01837323332</v>
      </c>
      <c r="F8" s="1">
        <f t="shared" si="1"/>
        <v>1834.4114346984406</v>
      </c>
      <c r="G8" s="16">
        <f>(8%/12)*Table7[[#This Row],[opening balance]]</f>
        <v>1661.0001224882224</v>
      </c>
      <c r="H8" s="16">
        <f>Table7[[#This Row],[monthly installment]]-Table7[[#This Row],[interest]]</f>
        <v>173.41131221021828</v>
      </c>
      <c r="I8" s="52">
        <f>Table7[[#This Row],[opening balance]]-Table7[[#This Row],[principal paid]]</f>
        <v>248976.6070610231</v>
      </c>
    </row>
    <row r="9" spans="1:9">
      <c r="A9" t="s">
        <v>72</v>
      </c>
      <c r="B9">
        <f>B8/12</f>
        <v>5.0000000000000001E-3</v>
      </c>
      <c r="D9">
        <f t="shared" si="2"/>
        <v>7</v>
      </c>
      <c r="E9" s="16">
        <f t="shared" si="0"/>
        <v>248976.6070610231</v>
      </c>
      <c r="F9" s="1">
        <f t="shared" si="1"/>
        <v>1834.4114346984406</v>
      </c>
      <c r="G9" s="16">
        <f>(8%/12)*Table7[[#This Row],[opening balance]]</f>
        <v>1659.8440470734874</v>
      </c>
      <c r="H9" s="16">
        <f>Table7[[#This Row],[monthly installment]]-Table7[[#This Row],[interest]]</f>
        <v>174.5673876249532</v>
      </c>
      <c r="I9" s="52">
        <f>Table7[[#This Row],[opening balance]]-Table7[[#This Row],[principal paid]]</f>
        <v>248802.03967339813</v>
      </c>
    </row>
    <row r="10" spans="1:9">
      <c r="A10" t="s">
        <v>73</v>
      </c>
      <c r="B10">
        <f>B5-(10*12)</f>
        <v>240</v>
      </c>
      <c r="D10">
        <f t="shared" si="2"/>
        <v>8</v>
      </c>
      <c r="E10" s="16">
        <f t="shared" si="0"/>
        <v>248802.03967339813</v>
      </c>
      <c r="F10" s="1">
        <f t="shared" si="1"/>
        <v>1834.4114346984406</v>
      </c>
      <c r="G10" s="16">
        <f>(8%/12)*Table7[[#This Row],[opening balance]]</f>
        <v>1658.680264489321</v>
      </c>
      <c r="H10" s="16">
        <f>Table7[[#This Row],[monthly installment]]-Table7[[#This Row],[interest]]</f>
        <v>175.73117020911968</v>
      </c>
      <c r="I10" s="52">
        <f>Table7[[#This Row],[opening balance]]-Table7[[#This Row],[principal paid]]</f>
        <v>248626.30850318901</v>
      </c>
    </row>
    <row r="11" spans="1:9">
      <c r="A11" t="s">
        <v>74</v>
      </c>
      <c r="B11" s="1">
        <f>PMT(B9,B10,-B7)</f>
        <v>1571.2175618594374</v>
      </c>
      <c r="D11">
        <f t="shared" si="2"/>
        <v>9</v>
      </c>
      <c r="E11" s="16">
        <f t="shared" si="0"/>
        <v>248626.30850318901</v>
      </c>
      <c r="F11" s="1">
        <f t="shared" si="1"/>
        <v>1834.4114346984406</v>
      </c>
      <c r="G11" s="16">
        <f>(8%/12)*Table7[[#This Row],[opening balance]]</f>
        <v>1657.5087233545935</v>
      </c>
      <c r="H11" s="16">
        <f>Table7[[#This Row],[monthly installment]]-Table7[[#This Row],[interest]]</f>
        <v>176.90271134384716</v>
      </c>
      <c r="I11" s="52">
        <f>Table7[[#This Row],[opening balance]]-Table7[[#This Row],[principal paid]]</f>
        <v>248449.40579184517</v>
      </c>
    </row>
    <row r="12" spans="1:9">
      <c r="A12" t="s">
        <v>75</v>
      </c>
      <c r="B12" s="1">
        <f>B6-B11</f>
        <v>263.19387283900323</v>
      </c>
      <c r="D12">
        <f t="shared" si="2"/>
        <v>10</v>
      </c>
      <c r="E12" s="16">
        <f t="shared" si="0"/>
        <v>248449.40579184517</v>
      </c>
      <c r="F12" s="1">
        <f t="shared" si="1"/>
        <v>1834.4114346984406</v>
      </c>
      <c r="G12" s="16">
        <f>(8%/12)*Table7[[#This Row],[opening balance]]</f>
        <v>1656.3293719456346</v>
      </c>
      <c r="H12" s="16">
        <f>Table7[[#This Row],[monthly installment]]-Table7[[#This Row],[interest]]</f>
        <v>178.082062752806</v>
      </c>
      <c r="I12" s="52">
        <f>Table7[[#This Row],[opening balance]]-Table7[[#This Row],[principal paid]]</f>
        <v>248271.32372909237</v>
      </c>
    </row>
    <row r="13" spans="1:9">
      <c r="D13">
        <f t="shared" si="2"/>
        <v>11</v>
      </c>
      <c r="E13" s="16">
        <f t="shared" si="0"/>
        <v>248271.32372909237</v>
      </c>
      <c r="F13" s="1">
        <f t="shared" si="1"/>
        <v>1834.4114346984406</v>
      </c>
      <c r="G13" s="16">
        <f>(8%/12)*Table7[[#This Row],[opening balance]]</f>
        <v>1655.1421581939492</v>
      </c>
      <c r="H13" s="16">
        <f>Table7[[#This Row],[monthly installment]]-Table7[[#This Row],[interest]]</f>
        <v>179.26927650449147</v>
      </c>
      <c r="I13" s="52">
        <f>Table7[[#This Row],[opening balance]]-Table7[[#This Row],[principal paid]]</f>
        <v>248092.05445258788</v>
      </c>
    </row>
    <row r="14" spans="1:9">
      <c r="D14">
        <f t="shared" si="2"/>
        <v>12</v>
      </c>
      <c r="E14" s="16">
        <f t="shared" si="0"/>
        <v>248092.05445258788</v>
      </c>
      <c r="F14" s="1">
        <f t="shared" si="1"/>
        <v>1834.4114346984406</v>
      </c>
      <c r="G14" s="16">
        <f>(8%/12)*Table7[[#This Row],[opening balance]]</f>
        <v>1653.9470296839193</v>
      </c>
      <c r="H14" s="16">
        <f>Table7[[#This Row],[monthly installment]]-Table7[[#This Row],[interest]]</f>
        <v>180.46440501452139</v>
      </c>
      <c r="I14" s="52">
        <f>Table7[[#This Row],[opening balance]]-Table7[[#This Row],[principal paid]]</f>
        <v>247911.59004757335</v>
      </c>
    </row>
    <row r="15" spans="1:9">
      <c r="D15">
        <f t="shared" si="2"/>
        <v>13</v>
      </c>
      <c r="E15" s="16">
        <f t="shared" si="0"/>
        <v>247911.59004757335</v>
      </c>
      <c r="F15" s="1">
        <f t="shared" si="1"/>
        <v>1834.4114346984406</v>
      </c>
      <c r="G15" s="16">
        <f>(8%/12)*Table7[[#This Row],[opening balance]]</f>
        <v>1652.743933650489</v>
      </c>
      <c r="H15" s="16">
        <f>Table7[[#This Row],[monthly installment]]-Table7[[#This Row],[interest]]</f>
        <v>181.66750104795165</v>
      </c>
      <c r="I15" s="52">
        <f>Table7[[#This Row],[opening balance]]-Table7[[#This Row],[principal paid]]</f>
        <v>247729.9225465254</v>
      </c>
    </row>
    <row r="16" spans="1:9">
      <c r="D16">
        <f t="shared" si="2"/>
        <v>14</v>
      </c>
      <c r="E16" s="16">
        <f t="shared" si="0"/>
        <v>247729.9225465254</v>
      </c>
      <c r="F16" s="1">
        <f t="shared" si="1"/>
        <v>1834.4114346984406</v>
      </c>
      <c r="G16" s="16">
        <f>(8%/12)*Table7[[#This Row],[opening balance]]</f>
        <v>1651.5328169768361</v>
      </c>
      <c r="H16" s="16">
        <f>Table7[[#This Row],[monthly installment]]-Table7[[#This Row],[interest]]</f>
        <v>182.87861772160454</v>
      </c>
      <c r="I16" s="52">
        <f>Table7[[#This Row],[opening balance]]-Table7[[#This Row],[principal paid]]</f>
        <v>247547.04392880379</v>
      </c>
    </row>
    <row r="17" spans="4:9">
      <c r="D17">
        <f t="shared" si="2"/>
        <v>15</v>
      </c>
      <c r="E17" s="16">
        <f t="shared" si="0"/>
        <v>247547.04392880379</v>
      </c>
      <c r="F17" s="1">
        <f t="shared" si="1"/>
        <v>1834.4114346984406</v>
      </c>
      <c r="G17" s="16">
        <f>(8%/12)*Table7[[#This Row],[opening balance]]</f>
        <v>1650.3136261920254</v>
      </c>
      <c r="H17" s="16">
        <f>Table7[[#This Row],[monthly installment]]-Table7[[#This Row],[interest]]</f>
        <v>184.09780850641528</v>
      </c>
      <c r="I17" s="52">
        <f>Table7[[#This Row],[opening balance]]-Table7[[#This Row],[principal paid]]</f>
        <v>247362.94612029736</v>
      </c>
    </row>
    <row r="18" spans="4:9">
      <c r="D18">
        <f t="shared" si="2"/>
        <v>16</v>
      </c>
      <c r="E18" s="16">
        <f t="shared" ref="E18:E36" si="3">I17</f>
        <v>247362.94612029736</v>
      </c>
      <c r="F18" s="1">
        <f t="shared" ref="F18:F36" si="4">$B$6</f>
        <v>1834.4114346984406</v>
      </c>
      <c r="G18" s="16">
        <f>(8%/12)*Table7[[#This Row],[opening balance]]</f>
        <v>1649.0863074686492</v>
      </c>
      <c r="H18" s="16">
        <f>Table7[[#This Row],[monthly installment]]-Table7[[#This Row],[interest]]</f>
        <v>185.32512722979141</v>
      </c>
      <c r="I18" s="52">
        <f>Table7[[#This Row],[opening balance]]-Table7[[#This Row],[principal paid]]</f>
        <v>247177.62099306757</v>
      </c>
    </row>
    <row r="19" spans="4:9">
      <c r="D19">
        <f t="shared" si="2"/>
        <v>17</v>
      </c>
      <c r="E19" s="16">
        <f t="shared" si="3"/>
        <v>247177.62099306757</v>
      </c>
      <c r="F19" s="1">
        <f t="shared" si="4"/>
        <v>1834.4114346984406</v>
      </c>
      <c r="G19" s="16">
        <f>(8%/12)*Table7[[#This Row],[opening balance]]</f>
        <v>1647.8508066204506</v>
      </c>
      <c r="H19" s="16">
        <f>Table7[[#This Row],[monthly installment]]-Table7[[#This Row],[interest]]</f>
        <v>186.56062807799003</v>
      </c>
      <c r="I19" s="52">
        <f>Table7[[#This Row],[opening balance]]-Table7[[#This Row],[principal paid]]</f>
        <v>246991.06036498959</v>
      </c>
    </row>
    <row r="20" spans="4:9">
      <c r="D20">
        <f t="shared" si="2"/>
        <v>18</v>
      </c>
      <c r="E20" s="16">
        <f t="shared" si="3"/>
        <v>246991.06036498959</v>
      </c>
      <c r="F20" s="1">
        <f t="shared" si="4"/>
        <v>1834.4114346984406</v>
      </c>
      <c r="G20" s="16">
        <f>(8%/12)*Table7[[#This Row],[opening balance]]</f>
        <v>1646.6070690999306</v>
      </c>
      <c r="H20" s="16">
        <f>Table7[[#This Row],[monthly installment]]-Table7[[#This Row],[interest]]</f>
        <v>187.80436559851</v>
      </c>
      <c r="I20" s="52">
        <f>Table7[[#This Row],[opening balance]]-Table7[[#This Row],[principal paid]]</f>
        <v>246803.25599939108</v>
      </c>
    </row>
    <row r="21" spans="4:9">
      <c r="D21">
        <f t="shared" si="2"/>
        <v>19</v>
      </c>
      <c r="E21" s="16">
        <f t="shared" si="3"/>
        <v>246803.25599939108</v>
      </c>
      <c r="F21" s="1">
        <f t="shared" si="4"/>
        <v>1834.4114346984406</v>
      </c>
      <c r="G21" s="16">
        <f>(8%/12)*Table7[[#This Row],[opening balance]]</f>
        <v>1645.3550399959406</v>
      </c>
      <c r="H21" s="16">
        <f>Table7[[#This Row],[monthly installment]]-Table7[[#This Row],[interest]]</f>
        <v>189.05639470250003</v>
      </c>
      <c r="I21" s="52">
        <f>Table7[[#This Row],[opening balance]]-Table7[[#This Row],[principal paid]]</f>
        <v>246614.19960468859</v>
      </c>
    </row>
    <row r="22" spans="4:9">
      <c r="D22">
        <f t="shared" si="2"/>
        <v>20</v>
      </c>
      <c r="E22" s="16">
        <f t="shared" si="3"/>
        <v>246614.19960468859</v>
      </c>
      <c r="F22" s="1">
        <f t="shared" si="4"/>
        <v>1834.4114346984406</v>
      </c>
      <c r="G22" s="16">
        <f>(8%/12)*Table7[[#This Row],[opening balance]]</f>
        <v>1644.0946640312575</v>
      </c>
      <c r="H22" s="16">
        <f>Table7[[#This Row],[monthly installment]]-Table7[[#This Row],[interest]]</f>
        <v>190.31677066718316</v>
      </c>
      <c r="I22" s="52">
        <f>Table7[[#This Row],[opening balance]]-Table7[[#This Row],[principal paid]]</f>
        <v>246423.88283402141</v>
      </c>
    </row>
    <row r="23" spans="4:9">
      <c r="D23">
        <f t="shared" si="2"/>
        <v>21</v>
      </c>
      <c r="E23" s="16">
        <f t="shared" si="3"/>
        <v>246423.88283402141</v>
      </c>
      <c r="F23" s="1">
        <f t="shared" si="4"/>
        <v>1834.4114346984406</v>
      </c>
      <c r="G23" s="16">
        <f>(8%/12)*Table7[[#This Row],[opening balance]]</f>
        <v>1642.8258855601428</v>
      </c>
      <c r="H23" s="16">
        <f>Table7[[#This Row],[monthly installment]]-Table7[[#This Row],[interest]]</f>
        <v>191.58554913829789</v>
      </c>
      <c r="I23" s="52">
        <f>Table7[[#This Row],[opening balance]]-Table7[[#This Row],[principal paid]]</f>
        <v>246232.2972848831</v>
      </c>
    </row>
    <row r="24" spans="4:9">
      <c r="D24">
        <f t="shared" si="2"/>
        <v>22</v>
      </c>
      <c r="E24" s="16">
        <f t="shared" si="3"/>
        <v>246232.2972848831</v>
      </c>
      <c r="F24" s="1">
        <f t="shared" si="4"/>
        <v>1834.4114346984406</v>
      </c>
      <c r="G24" s="16">
        <f>(8%/12)*Table7[[#This Row],[opening balance]]</f>
        <v>1641.5486485658873</v>
      </c>
      <c r="H24" s="16">
        <f>Table7[[#This Row],[monthly installment]]-Table7[[#This Row],[interest]]</f>
        <v>192.86278613255331</v>
      </c>
      <c r="I24" s="52">
        <f>Table7[[#This Row],[opening balance]]-Table7[[#This Row],[principal paid]]</f>
        <v>246039.43449875055</v>
      </c>
    </row>
    <row r="25" spans="4:9">
      <c r="D25">
        <f t="shared" si="2"/>
        <v>23</v>
      </c>
      <c r="E25" s="16">
        <f t="shared" si="3"/>
        <v>246039.43449875055</v>
      </c>
      <c r="F25" s="1">
        <f t="shared" si="4"/>
        <v>1834.4114346984406</v>
      </c>
      <c r="G25" s="16">
        <f>(8%/12)*Table7[[#This Row],[opening balance]]</f>
        <v>1640.262896658337</v>
      </c>
      <c r="H25" s="16">
        <f>Table7[[#This Row],[monthly installment]]-Table7[[#This Row],[interest]]</f>
        <v>194.14853804010363</v>
      </c>
      <c r="I25" s="52">
        <f>Table7[[#This Row],[opening balance]]-Table7[[#This Row],[principal paid]]</f>
        <v>245845.28596071043</v>
      </c>
    </row>
    <row r="26" spans="4:9">
      <c r="D26">
        <f t="shared" si="2"/>
        <v>24</v>
      </c>
      <c r="E26" s="16">
        <f t="shared" si="3"/>
        <v>245845.28596071043</v>
      </c>
      <c r="F26" s="1">
        <f t="shared" si="4"/>
        <v>1834.4114346984406</v>
      </c>
      <c r="G26" s="16">
        <f>(8%/12)*Table7[[#This Row],[opening balance]]</f>
        <v>1638.9685730714029</v>
      </c>
      <c r="H26" s="16">
        <f>Table7[[#This Row],[monthly installment]]-Table7[[#This Row],[interest]]</f>
        <v>195.4428616270377</v>
      </c>
      <c r="I26" s="52">
        <f>Table7[[#This Row],[opening balance]]-Table7[[#This Row],[principal paid]]</f>
        <v>245649.8430990834</v>
      </c>
    </row>
    <row r="27" spans="4:9">
      <c r="D27">
        <f t="shared" si="2"/>
        <v>25</v>
      </c>
      <c r="E27" s="16">
        <f t="shared" si="3"/>
        <v>245649.8430990834</v>
      </c>
      <c r="F27" s="1">
        <f t="shared" si="4"/>
        <v>1834.4114346984406</v>
      </c>
      <c r="G27" s="16">
        <f>(8%/12)*Table7[[#This Row],[opening balance]]</f>
        <v>1637.6656206605562</v>
      </c>
      <c r="H27" s="16">
        <f>Table7[[#This Row],[monthly installment]]-Table7[[#This Row],[interest]]</f>
        <v>196.74581403788443</v>
      </c>
      <c r="I27" s="52">
        <f>Table7[[#This Row],[opening balance]]-Table7[[#This Row],[principal paid]]</f>
        <v>245453.09728504551</v>
      </c>
    </row>
    <row r="28" spans="4:9">
      <c r="D28">
        <f t="shared" si="2"/>
        <v>26</v>
      </c>
      <c r="E28" s="16">
        <f t="shared" si="3"/>
        <v>245453.09728504551</v>
      </c>
      <c r="F28" s="1">
        <f t="shared" si="4"/>
        <v>1834.4114346984406</v>
      </c>
      <c r="G28" s="16">
        <f>(8%/12)*Table7[[#This Row],[opening balance]]</f>
        <v>1636.3539819003036</v>
      </c>
      <c r="H28" s="16">
        <f>Table7[[#This Row],[monthly installment]]-Table7[[#This Row],[interest]]</f>
        <v>198.05745279813709</v>
      </c>
      <c r="I28" s="52">
        <f>Table7[[#This Row],[opening balance]]-Table7[[#This Row],[principal paid]]</f>
        <v>245255.03983224736</v>
      </c>
    </row>
    <row r="29" spans="4:9">
      <c r="D29">
        <f t="shared" si="2"/>
        <v>27</v>
      </c>
      <c r="E29" s="16">
        <f t="shared" si="3"/>
        <v>245255.03983224736</v>
      </c>
      <c r="F29" s="1">
        <f t="shared" si="4"/>
        <v>1834.4114346984406</v>
      </c>
      <c r="G29" s="16">
        <f>(8%/12)*Table7[[#This Row],[opening balance]]</f>
        <v>1635.0335988816491</v>
      </c>
      <c r="H29" s="16">
        <f>Table7[[#This Row],[monthly installment]]-Table7[[#This Row],[interest]]</f>
        <v>199.3778358167915</v>
      </c>
      <c r="I29" s="52">
        <f>Table7[[#This Row],[opening balance]]-Table7[[#This Row],[principal paid]]</f>
        <v>245055.66199643057</v>
      </c>
    </row>
    <row r="30" spans="4:9">
      <c r="D30">
        <f t="shared" si="2"/>
        <v>28</v>
      </c>
      <c r="E30" s="16">
        <f t="shared" si="3"/>
        <v>245055.66199643057</v>
      </c>
      <c r="F30" s="1">
        <f t="shared" si="4"/>
        <v>1834.4114346984406</v>
      </c>
      <c r="G30" s="16">
        <f>(8%/12)*Table7[[#This Row],[opening balance]]</f>
        <v>1633.7044133095374</v>
      </c>
      <c r="H30" s="16">
        <f>Table7[[#This Row],[monthly installment]]-Table7[[#This Row],[interest]]</f>
        <v>200.70702138890329</v>
      </c>
      <c r="I30" s="52">
        <f>Table7[[#This Row],[opening balance]]-Table7[[#This Row],[principal paid]]</f>
        <v>244854.95497504168</v>
      </c>
    </row>
    <row r="31" spans="4:9">
      <c r="D31">
        <f t="shared" si="2"/>
        <v>29</v>
      </c>
      <c r="E31" s="16">
        <f t="shared" si="3"/>
        <v>244854.95497504168</v>
      </c>
      <c r="F31" s="1">
        <f t="shared" si="4"/>
        <v>1834.4114346984406</v>
      </c>
      <c r="G31" s="16">
        <f>(8%/12)*Table7[[#This Row],[opening balance]]</f>
        <v>1632.366366500278</v>
      </c>
      <c r="H31" s="16">
        <f>Table7[[#This Row],[monthly installment]]-Table7[[#This Row],[interest]]</f>
        <v>202.04506819816265</v>
      </c>
      <c r="I31" s="52">
        <f>Table7[[#This Row],[opening balance]]-Table7[[#This Row],[principal paid]]</f>
        <v>244652.9099068435</v>
      </c>
    </row>
    <row r="32" spans="4:9">
      <c r="D32">
        <f t="shared" si="2"/>
        <v>30</v>
      </c>
      <c r="E32" s="16">
        <f t="shared" si="3"/>
        <v>244652.9099068435</v>
      </c>
      <c r="F32" s="1">
        <f t="shared" si="4"/>
        <v>1834.4114346984406</v>
      </c>
      <c r="G32" s="16">
        <f>(8%/12)*Table7[[#This Row],[opening balance]]</f>
        <v>1631.0193993789567</v>
      </c>
      <c r="H32" s="16">
        <f>Table7[[#This Row],[monthly installment]]-Table7[[#This Row],[interest]]</f>
        <v>203.39203531948397</v>
      </c>
      <c r="I32" s="52">
        <f>Table7[[#This Row],[opening balance]]-Table7[[#This Row],[principal paid]]</f>
        <v>244449.51787152403</v>
      </c>
    </row>
    <row r="33" spans="4:9">
      <c r="D33">
        <f t="shared" si="2"/>
        <v>31</v>
      </c>
      <c r="E33" s="16">
        <f t="shared" si="3"/>
        <v>244449.51787152403</v>
      </c>
      <c r="F33" s="1">
        <f t="shared" si="4"/>
        <v>1834.4114346984406</v>
      </c>
      <c r="G33" s="16">
        <f>(8%/12)*Table7[[#This Row],[opening balance]]</f>
        <v>1629.6634524768269</v>
      </c>
      <c r="H33" s="16">
        <f>Table7[[#This Row],[monthly installment]]-Table7[[#This Row],[interest]]</f>
        <v>204.74798222161371</v>
      </c>
      <c r="I33" s="52">
        <f>Table7[[#This Row],[opening balance]]-Table7[[#This Row],[principal paid]]</f>
        <v>244244.76988930241</v>
      </c>
    </row>
    <row r="34" spans="4:9">
      <c r="D34">
        <f t="shared" si="2"/>
        <v>32</v>
      </c>
      <c r="E34" s="16">
        <f t="shared" si="3"/>
        <v>244244.76988930241</v>
      </c>
      <c r="F34" s="1">
        <f t="shared" si="4"/>
        <v>1834.4114346984406</v>
      </c>
      <c r="G34" s="16">
        <f>(8%/12)*Table7[[#This Row],[opening balance]]</f>
        <v>1628.2984659286828</v>
      </c>
      <c r="H34" s="16">
        <f>Table7[[#This Row],[monthly installment]]-Table7[[#This Row],[interest]]</f>
        <v>206.1129687697578</v>
      </c>
      <c r="I34" s="52">
        <f>Table7[[#This Row],[opening balance]]-Table7[[#This Row],[principal paid]]</f>
        <v>244038.65692053264</v>
      </c>
    </row>
    <row r="35" spans="4:9">
      <c r="D35">
        <f t="shared" si="2"/>
        <v>33</v>
      </c>
      <c r="E35" s="16">
        <f t="shared" si="3"/>
        <v>244038.65692053264</v>
      </c>
      <c r="F35" s="1">
        <f t="shared" si="4"/>
        <v>1834.4114346984406</v>
      </c>
      <c r="G35" s="16">
        <f>(8%/12)*Table7[[#This Row],[opening balance]]</f>
        <v>1626.9243794702177</v>
      </c>
      <c r="H35" s="16">
        <f>Table7[[#This Row],[monthly installment]]-Table7[[#This Row],[interest]]</f>
        <v>207.48705522822297</v>
      </c>
      <c r="I35" s="52">
        <f>Table7[[#This Row],[opening balance]]-Table7[[#This Row],[principal paid]]</f>
        <v>243831.1698653044</v>
      </c>
    </row>
    <row r="36" spans="4:9">
      <c r="D36">
        <f t="shared" si="2"/>
        <v>34</v>
      </c>
      <c r="E36" s="16">
        <f t="shared" si="3"/>
        <v>243831.1698653044</v>
      </c>
      <c r="F36" s="1">
        <f t="shared" si="4"/>
        <v>1834.4114346984406</v>
      </c>
      <c r="G36" s="16">
        <f>(8%/12)*Table7[[#This Row],[opening balance]]</f>
        <v>1625.5411324353627</v>
      </c>
      <c r="H36" s="16">
        <f>Table7[[#This Row],[monthly installment]]-Table7[[#This Row],[interest]]</f>
        <v>208.87030226307797</v>
      </c>
      <c r="I36" s="52">
        <f>Table7[[#This Row],[opening balance]]-Table7[[#This Row],[principal paid]]</f>
        <v>243622.29956304134</v>
      </c>
    </row>
    <row r="37" spans="4:9">
      <c r="D37">
        <f t="shared" si="2"/>
        <v>35</v>
      </c>
      <c r="E37" s="16">
        <f t="shared" ref="E37:E56" si="5">I36</f>
        <v>243622.29956304134</v>
      </c>
      <c r="F37" s="1">
        <f t="shared" ref="F37:F56" si="6">$B$6</f>
        <v>1834.4114346984406</v>
      </c>
      <c r="G37" s="16">
        <f>(8%/12)*Table7[[#This Row],[opening balance]]</f>
        <v>1624.1486637536091</v>
      </c>
      <c r="H37" s="16">
        <f>Table7[[#This Row],[monthly installment]]-Table7[[#This Row],[interest]]</f>
        <v>210.26277094483157</v>
      </c>
      <c r="I37" s="52">
        <f>Table7[[#This Row],[opening balance]]-Table7[[#This Row],[principal paid]]</f>
        <v>243412.03679209651</v>
      </c>
    </row>
    <row r="38" spans="4:9">
      <c r="D38">
        <f t="shared" si="2"/>
        <v>36</v>
      </c>
      <c r="E38" s="16">
        <f t="shared" si="5"/>
        <v>243412.03679209651</v>
      </c>
      <c r="F38" s="1">
        <f t="shared" si="6"/>
        <v>1834.4114346984406</v>
      </c>
      <c r="G38" s="16">
        <f>(8%/12)*Table7[[#This Row],[opening balance]]</f>
        <v>1622.7469119473101</v>
      </c>
      <c r="H38" s="16">
        <f>Table7[[#This Row],[monthly installment]]-Table7[[#This Row],[interest]]</f>
        <v>211.66452275113056</v>
      </c>
      <c r="I38" s="52">
        <f>Table7[[#This Row],[opening balance]]-Table7[[#This Row],[principal paid]]</f>
        <v>243200.37226934539</v>
      </c>
    </row>
    <row r="39" spans="4:9">
      <c r="D39">
        <f t="shared" si="2"/>
        <v>37</v>
      </c>
      <c r="E39" s="16">
        <f t="shared" si="5"/>
        <v>243200.37226934539</v>
      </c>
      <c r="F39" s="1">
        <f t="shared" si="6"/>
        <v>1834.4114346984406</v>
      </c>
      <c r="G39" s="16">
        <f>(8%/12)*Table7[[#This Row],[opening balance]]</f>
        <v>1621.3358151289694</v>
      </c>
      <c r="H39" s="16">
        <f>Table7[[#This Row],[monthly installment]]-Table7[[#This Row],[interest]]</f>
        <v>213.0756195694712</v>
      </c>
      <c r="I39" s="52">
        <f>Table7[[#This Row],[opening balance]]-Table7[[#This Row],[principal paid]]</f>
        <v>242987.2966497759</v>
      </c>
    </row>
    <row r="40" spans="4:9">
      <c r="D40">
        <f t="shared" si="2"/>
        <v>38</v>
      </c>
      <c r="E40" s="16">
        <f t="shared" si="5"/>
        <v>242987.2966497759</v>
      </c>
      <c r="F40" s="1">
        <f t="shared" si="6"/>
        <v>1834.4114346984406</v>
      </c>
      <c r="G40" s="16">
        <f>(8%/12)*Table7[[#This Row],[opening balance]]</f>
        <v>1619.9153109985061</v>
      </c>
      <c r="H40" s="16">
        <f>Table7[[#This Row],[monthly installment]]-Table7[[#This Row],[interest]]</f>
        <v>214.49612369993451</v>
      </c>
      <c r="I40" s="52">
        <f>Table7[[#This Row],[opening balance]]-Table7[[#This Row],[principal paid]]</f>
        <v>242772.80052607597</v>
      </c>
    </row>
    <row r="41" spans="4:9">
      <c r="D41">
        <f t="shared" si="2"/>
        <v>39</v>
      </c>
      <c r="E41" s="16">
        <f t="shared" si="5"/>
        <v>242772.80052607597</v>
      </c>
      <c r="F41" s="1">
        <f t="shared" si="6"/>
        <v>1834.4114346984406</v>
      </c>
      <c r="G41" s="16">
        <f>(8%/12)*Table7[[#This Row],[opening balance]]</f>
        <v>1618.4853368405065</v>
      </c>
      <c r="H41" s="16">
        <f>Table7[[#This Row],[monthly installment]]-Table7[[#This Row],[interest]]</f>
        <v>215.92609785793411</v>
      </c>
      <c r="I41" s="52">
        <f>Table7[[#This Row],[opening balance]]-Table7[[#This Row],[principal paid]]</f>
        <v>242556.87442821803</v>
      </c>
    </row>
    <row r="42" spans="4:9">
      <c r="D42">
        <f t="shared" si="2"/>
        <v>40</v>
      </c>
      <c r="E42" s="16">
        <f t="shared" si="5"/>
        <v>242556.87442821803</v>
      </c>
      <c r="F42" s="1">
        <f t="shared" si="6"/>
        <v>1834.4114346984406</v>
      </c>
      <c r="G42" s="16">
        <f>(8%/12)*Table7[[#This Row],[opening balance]]</f>
        <v>1617.0458295214537</v>
      </c>
      <c r="H42" s="16">
        <f>Table7[[#This Row],[monthly installment]]-Table7[[#This Row],[interest]]</f>
        <v>217.36560517698695</v>
      </c>
      <c r="I42" s="52">
        <f>Table7[[#This Row],[opening balance]]-Table7[[#This Row],[principal paid]]</f>
        <v>242339.50882304105</v>
      </c>
    </row>
    <row r="43" spans="4:9">
      <c r="D43">
        <f t="shared" si="2"/>
        <v>41</v>
      </c>
      <c r="E43" s="16">
        <f t="shared" si="5"/>
        <v>242339.50882304105</v>
      </c>
      <c r="F43" s="1">
        <f t="shared" si="6"/>
        <v>1834.4114346984406</v>
      </c>
      <c r="G43" s="16">
        <f>(8%/12)*Table7[[#This Row],[opening balance]]</f>
        <v>1615.5967254869404</v>
      </c>
      <c r="H43" s="16">
        <f>Table7[[#This Row],[monthly installment]]-Table7[[#This Row],[interest]]</f>
        <v>218.81470921150026</v>
      </c>
      <c r="I43" s="52">
        <f>Table7[[#This Row],[opening balance]]-Table7[[#This Row],[principal paid]]</f>
        <v>242120.69411382955</v>
      </c>
    </row>
    <row r="44" spans="4:9">
      <c r="D44">
        <f t="shared" si="2"/>
        <v>42</v>
      </c>
      <c r="E44" s="16">
        <f t="shared" si="5"/>
        <v>242120.69411382955</v>
      </c>
      <c r="F44" s="1">
        <f t="shared" si="6"/>
        <v>1834.4114346984406</v>
      </c>
      <c r="G44" s="16">
        <f>(8%/12)*Table7[[#This Row],[opening balance]]</f>
        <v>1614.1379607588638</v>
      </c>
      <c r="H44" s="16">
        <f>Table7[[#This Row],[monthly installment]]-Table7[[#This Row],[interest]]</f>
        <v>220.27347393957689</v>
      </c>
      <c r="I44" s="52">
        <f>Table7[[#This Row],[opening balance]]-Table7[[#This Row],[principal paid]]</f>
        <v>241900.42063988998</v>
      </c>
    </row>
    <row r="45" spans="4:9">
      <c r="D45">
        <f t="shared" si="2"/>
        <v>43</v>
      </c>
      <c r="E45" s="16">
        <f t="shared" si="5"/>
        <v>241900.42063988998</v>
      </c>
      <c r="F45" s="1">
        <f t="shared" si="6"/>
        <v>1834.4114346984406</v>
      </c>
      <c r="G45" s="16">
        <f>(8%/12)*Table7[[#This Row],[opening balance]]</f>
        <v>1612.6694709326</v>
      </c>
      <c r="H45" s="16">
        <f>Table7[[#This Row],[monthly installment]]-Table7[[#This Row],[interest]]</f>
        <v>221.74196376584064</v>
      </c>
      <c r="I45" s="52">
        <f>Table7[[#This Row],[opening balance]]-Table7[[#This Row],[principal paid]]</f>
        <v>241678.67867612414</v>
      </c>
    </row>
    <row r="46" spans="4:9">
      <c r="D46">
        <f t="shared" si="2"/>
        <v>44</v>
      </c>
      <c r="E46" s="16">
        <f t="shared" si="5"/>
        <v>241678.67867612414</v>
      </c>
      <c r="F46" s="1">
        <f t="shared" si="6"/>
        <v>1834.4114346984406</v>
      </c>
      <c r="G46" s="16">
        <f>(8%/12)*Table7[[#This Row],[opening balance]]</f>
        <v>1611.1911911741611</v>
      </c>
      <c r="H46" s="16">
        <f>Table7[[#This Row],[monthly installment]]-Table7[[#This Row],[interest]]</f>
        <v>223.22024352427957</v>
      </c>
      <c r="I46" s="52">
        <f>Table7[[#This Row],[opening balance]]-Table7[[#This Row],[principal paid]]</f>
        <v>241455.45843259987</v>
      </c>
    </row>
    <row r="47" spans="4:9">
      <c r="D47">
        <f t="shared" si="2"/>
        <v>45</v>
      </c>
      <c r="E47" s="16">
        <f t="shared" si="5"/>
        <v>241455.45843259987</v>
      </c>
      <c r="F47" s="1">
        <f t="shared" si="6"/>
        <v>1834.4114346984406</v>
      </c>
      <c r="G47" s="16">
        <f>(8%/12)*Table7[[#This Row],[opening balance]]</f>
        <v>1609.7030562173327</v>
      </c>
      <c r="H47" s="16">
        <f>Table7[[#This Row],[monthly installment]]-Table7[[#This Row],[interest]]</f>
        <v>224.70837848110796</v>
      </c>
      <c r="I47" s="52">
        <f>Table7[[#This Row],[opening balance]]-Table7[[#This Row],[principal paid]]</f>
        <v>241230.75005411878</v>
      </c>
    </row>
    <row r="48" spans="4:9">
      <c r="D48">
        <f t="shared" si="2"/>
        <v>46</v>
      </c>
      <c r="E48" s="16">
        <f t="shared" si="5"/>
        <v>241230.75005411878</v>
      </c>
      <c r="F48" s="1">
        <f t="shared" si="6"/>
        <v>1834.4114346984406</v>
      </c>
      <c r="G48" s="16">
        <f>(8%/12)*Table7[[#This Row],[opening balance]]</f>
        <v>1608.2050003607919</v>
      </c>
      <c r="H48" s="16">
        <f>Table7[[#This Row],[monthly installment]]-Table7[[#This Row],[interest]]</f>
        <v>226.20643433764872</v>
      </c>
      <c r="I48" s="52">
        <f>Table7[[#This Row],[opening balance]]-Table7[[#This Row],[principal paid]]</f>
        <v>241004.54361978112</v>
      </c>
    </row>
    <row r="49" spans="4:9">
      <c r="D49">
        <f t="shared" si="2"/>
        <v>47</v>
      </c>
      <c r="E49" s="16">
        <f t="shared" si="5"/>
        <v>241004.54361978112</v>
      </c>
      <c r="F49" s="1">
        <f t="shared" si="6"/>
        <v>1834.4114346984406</v>
      </c>
      <c r="G49" s="16">
        <f>(8%/12)*Table7[[#This Row],[opening balance]]</f>
        <v>1606.6969574652076</v>
      </c>
      <c r="H49" s="16">
        <f>Table7[[#This Row],[monthly installment]]-Table7[[#This Row],[interest]]</f>
        <v>227.71447723323308</v>
      </c>
      <c r="I49" s="52">
        <f>Table7[[#This Row],[opening balance]]-Table7[[#This Row],[principal paid]]</f>
        <v>240776.82914254788</v>
      </c>
    </row>
    <row r="50" spans="4:9">
      <c r="D50">
        <f t="shared" si="2"/>
        <v>48</v>
      </c>
      <c r="E50" s="16">
        <f t="shared" si="5"/>
        <v>240776.82914254788</v>
      </c>
      <c r="F50" s="1">
        <f t="shared" si="6"/>
        <v>1834.4114346984406</v>
      </c>
      <c r="G50" s="16">
        <f>(8%/12)*Table7[[#This Row],[opening balance]]</f>
        <v>1605.1788609503194</v>
      </c>
      <c r="H50" s="16">
        <f>Table7[[#This Row],[monthly installment]]-Table7[[#This Row],[interest]]</f>
        <v>229.23257374812124</v>
      </c>
      <c r="I50" s="52">
        <f>Table7[[#This Row],[opening balance]]-Table7[[#This Row],[principal paid]]</f>
        <v>240547.59656879975</v>
      </c>
    </row>
    <row r="51" spans="4:9">
      <c r="D51">
        <f t="shared" si="2"/>
        <v>49</v>
      </c>
      <c r="E51" s="16">
        <f t="shared" si="5"/>
        <v>240547.59656879975</v>
      </c>
      <c r="F51" s="1">
        <f t="shared" si="6"/>
        <v>1834.4114346984406</v>
      </c>
      <c r="G51" s="16">
        <f>(8%/12)*Table7[[#This Row],[opening balance]]</f>
        <v>1603.6506437919984</v>
      </c>
      <c r="H51" s="16">
        <f>Table7[[#This Row],[monthly installment]]-Table7[[#This Row],[interest]]</f>
        <v>230.76079090644225</v>
      </c>
      <c r="I51" s="52">
        <f>Table7[[#This Row],[opening balance]]-Table7[[#This Row],[principal paid]]</f>
        <v>240316.83577789331</v>
      </c>
    </row>
    <row r="52" spans="4:9">
      <c r="D52">
        <f t="shared" si="2"/>
        <v>50</v>
      </c>
      <c r="E52" s="16">
        <f t="shared" si="5"/>
        <v>240316.83577789331</v>
      </c>
      <c r="F52" s="1">
        <f t="shared" si="6"/>
        <v>1834.4114346984406</v>
      </c>
      <c r="G52" s="16">
        <f>(8%/12)*Table7[[#This Row],[opening balance]]</f>
        <v>1602.1122385192889</v>
      </c>
      <c r="H52" s="16">
        <f>Table7[[#This Row],[monthly installment]]-Table7[[#This Row],[interest]]</f>
        <v>232.29919617915175</v>
      </c>
      <c r="I52" s="52">
        <f>Table7[[#This Row],[opening balance]]-Table7[[#This Row],[principal paid]]</f>
        <v>240084.53658171417</v>
      </c>
    </row>
    <row r="53" spans="4:9">
      <c r="D53">
        <f t="shared" si="2"/>
        <v>51</v>
      </c>
      <c r="E53" s="16">
        <f t="shared" si="5"/>
        <v>240084.53658171417</v>
      </c>
      <c r="F53" s="1">
        <f t="shared" si="6"/>
        <v>1834.4114346984406</v>
      </c>
      <c r="G53" s="16">
        <f>(8%/12)*Table7[[#This Row],[opening balance]]</f>
        <v>1600.5635772114279</v>
      </c>
      <c r="H53" s="16">
        <f>Table7[[#This Row],[monthly installment]]-Table7[[#This Row],[interest]]</f>
        <v>233.84785748701279</v>
      </c>
      <c r="I53" s="52">
        <f>Table7[[#This Row],[opening balance]]-Table7[[#This Row],[principal paid]]</f>
        <v>239850.68872422716</v>
      </c>
    </row>
    <row r="54" spans="4:9">
      <c r="D54">
        <f t="shared" si="2"/>
        <v>52</v>
      </c>
      <c r="E54" s="16">
        <f t="shared" si="5"/>
        <v>239850.68872422716</v>
      </c>
      <c r="F54" s="1">
        <f t="shared" si="6"/>
        <v>1834.4114346984406</v>
      </c>
      <c r="G54" s="16">
        <f>(8%/12)*Table7[[#This Row],[opening balance]]</f>
        <v>1599.0045914948478</v>
      </c>
      <c r="H54" s="16">
        <f>Table7[[#This Row],[monthly installment]]-Table7[[#This Row],[interest]]</f>
        <v>235.40684320359287</v>
      </c>
      <c r="I54" s="52">
        <f>Table7[[#This Row],[opening balance]]-Table7[[#This Row],[principal paid]]</f>
        <v>239615.28188102358</v>
      </c>
    </row>
    <row r="55" spans="4:9">
      <c r="D55">
        <f t="shared" si="2"/>
        <v>53</v>
      </c>
      <c r="E55" s="16">
        <f t="shared" si="5"/>
        <v>239615.28188102358</v>
      </c>
      <c r="F55" s="1">
        <f t="shared" si="6"/>
        <v>1834.4114346984406</v>
      </c>
      <c r="G55" s="16">
        <f>(8%/12)*Table7[[#This Row],[opening balance]]</f>
        <v>1597.4352125401572</v>
      </c>
      <c r="H55" s="16">
        <f>Table7[[#This Row],[monthly installment]]-Table7[[#This Row],[interest]]</f>
        <v>236.97622215828346</v>
      </c>
      <c r="I55" s="52">
        <f>Table7[[#This Row],[opening balance]]-Table7[[#This Row],[principal paid]]</f>
        <v>239378.30565886528</v>
      </c>
    </row>
    <row r="56" spans="4:9">
      <c r="D56">
        <f t="shared" si="2"/>
        <v>54</v>
      </c>
      <c r="E56" s="16">
        <f t="shared" si="5"/>
        <v>239378.30565886528</v>
      </c>
      <c r="F56" s="1">
        <f t="shared" si="6"/>
        <v>1834.4114346984406</v>
      </c>
      <c r="G56" s="16">
        <f>(8%/12)*Table7[[#This Row],[opening balance]]</f>
        <v>1595.855371059102</v>
      </c>
      <c r="H56" s="16">
        <f>Table7[[#This Row],[monthly installment]]-Table7[[#This Row],[interest]]</f>
        <v>238.55606363933862</v>
      </c>
      <c r="I56" s="52">
        <f>Table7[[#This Row],[opening balance]]-Table7[[#This Row],[principal paid]]</f>
        <v>239139.74959522593</v>
      </c>
    </row>
    <row r="57" spans="4:9">
      <c r="D57">
        <f t="shared" si="2"/>
        <v>55</v>
      </c>
      <c r="E57" s="16">
        <f t="shared" ref="E57:E81" si="7">I56</f>
        <v>239139.74959522593</v>
      </c>
      <c r="F57" s="1">
        <f t="shared" ref="F57:F81" si="8">$B$6</f>
        <v>1834.4114346984406</v>
      </c>
      <c r="G57" s="16">
        <f>(8%/12)*Table7[[#This Row],[opening balance]]</f>
        <v>1594.2649973015064</v>
      </c>
      <c r="H57" s="16">
        <f>Table7[[#This Row],[monthly installment]]-Table7[[#This Row],[interest]]</f>
        <v>240.14643739693429</v>
      </c>
      <c r="I57" s="52">
        <f>Table7[[#This Row],[opening balance]]-Table7[[#This Row],[principal paid]]</f>
        <v>238899.603157829</v>
      </c>
    </row>
    <row r="58" spans="4:9">
      <c r="D58">
        <f t="shared" si="2"/>
        <v>56</v>
      </c>
      <c r="E58" s="16">
        <f t="shared" si="7"/>
        <v>238899.603157829</v>
      </c>
      <c r="F58" s="1">
        <f t="shared" si="8"/>
        <v>1834.4114346984406</v>
      </c>
      <c r="G58" s="16">
        <f>(8%/12)*Table7[[#This Row],[opening balance]]</f>
        <v>1592.6640210521934</v>
      </c>
      <c r="H58" s="16">
        <f>Table7[[#This Row],[monthly installment]]-Table7[[#This Row],[interest]]</f>
        <v>241.7474136462472</v>
      </c>
      <c r="I58" s="52">
        <f>Table7[[#This Row],[opening balance]]-Table7[[#This Row],[principal paid]]</f>
        <v>238657.85574418274</v>
      </c>
    </row>
    <row r="59" spans="4:9">
      <c r="D59">
        <f t="shared" si="2"/>
        <v>57</v>
      </c>
      <c r="E59" s="16">
        <f t="shared" si="7"/>
        <v>238657.85574418274</v>
      </c>
      <c r="F59" s="1">
        <f t="shared" si="8"/>
        <v>1834.4114346984406</v>
      </c>
      <c r="G59" s="16">
        <f>(8%/12)*Table7[[#This Row],[opening balance]]</f>
        <v>1591.0523716278851</v>
      </c>
      <c r="H59" s="16">
        <f>Table7[[#This Row],[monthly installment]]-Table7[[#This Row],[interest]]</f>
        <v>243.35906307055552</v>
      </c>
      <c r="I59" s="52">
        <f>Table7[[#This Row],[opening balance]]-Table7[[#This Row],[principal paid]]</f>
        <v>238414.49668111218</v>
      </c>
    </row>
    <row r="60" spans="4:9">
      <c r="D60">
        <f t="shared" si="2"/>
        <v>58</v>
      </c>
      <c r="E60" s="16">
        <f t="shared" si="7"/>
        <v>238414.49668111218</v>
      </c>
      <c r="F60" s="1">
        <f t="shared" si="8"/>
        <v>1834.4114346984406</v>
      </c>
      <c r="G60" s="16">
        <f>(8%/12)*Table7[[#This Row],[opening balance]]</f>
        <v>1589.4299778740813</v>
      </c>
      <c r="H60" s="16">
        <f>Table7[[#This Row],[monthly installment]]-Table7[[#This Row],[interest]]</f>
        <v>244.98145682435938</v>
      </c>
      <c r="I60" s="52">
        <f>Table7[[#This Row],[opening balance]]-Table7[[#This Row],[principal paid]]</f>
        <v>238169.51522428784</v>
      </c>
    </row>
    <row r="61" spans="4:9">
      <c r="D61">
        <f t="shared" si="2"/>
        <v>59</v>
      </c>
      <c r="E61" s="16">
        <f t="shared" si="7"/>
        <v>238169.51522428784</v>
      </c>
      <c r="F61" s="1">
        <f t="shared" si="8"/>
        <v>1834.4114346984406</v>
      </c>
      <c r="G61" s="16">
        <f>(8%/12)*Table7[[#This Row],[opening balance]]</f>
        <v>1587.7967681619191</v>
      </c>
      <c r="H61" s="16">
        <f>Table7[[#This Row],[monthly installment]]-Table7[[#This Row],[interest]]</f>
        <v>246.61466653652155</v>
      </c>
      <c r="I61" s="52">
        <f>Table7[[#This Row],[opening balance]]-Table7[[#This Row],[principal paid]]</f>
        <v>237922.90055775133</v>
      </c>
    </row>
    <row r="62" spans="4:9">
      <c r="D62">
        <f t="shared" si="2"/>
        <v>60</v>
      </c>
      <c r="E62" s="16">
        <f t="shared" si="7"/>
        <v>237922.90055775133</v>
      </c>
      <c r="F62" s="1">
        <f t="shared" si="8"/>
        <v>1834.4114346984406</v>
      </c>
      <c r="G62" s="16">
        <f>(8%/12)*Table7[[#This Row],[opening balance]]</f>
        <v>1586.1526703850091</v>
      </c>
      <c r="H62" s="16">
        <f>Table7[[#This Row],[monthly installment]]-Table7[[#This Row],[interest]]</f>
        <v>248.25876431343158</v>
      </c>
      <c r="I62" s="52">
        <f>Table7[[#This Row],[opening balance]]-Table7[[#This Row],[principal paid]]</f>
        <v>237674.64179343791</v>
      </c>
    </row>
    <row r="63" spans="4:9">
      <c r="D63">
        <f t="shared" si="2"/>
        <v>61</v>
      </c>
      <c r="E63" s="16">
        <f t="shared" si="7"/>
        <v>237674.64179343791</v>
      </c>
      <c r="F63" s="1">
        <f t="shared" si="8"/>
        <v>1834.4114346984406</v>
      </c>
      <c r="G63" s="16">
        <f>(8%/12)*Table7[[#This Row],[opening balance]]</f>
        <v>1584.497611956253</v>
      </c>
      <c r="H63" s="16">
        <f>Table7[[#This Row],[monthly installment]]-Table7[[#This Row],[interest]]</f>
        <v>249.91382274218768</v>
      </c>
      <c r="I63" s="52">
        <f>Table7[[#This Row],[opening balance]]-Table7[[#This Row],[principal paid]]</f>
        <v>237424.72797069573</v>
      </c>
    </row>
    <row r="64" spans="4:9">
      <c r="D64">
        <f t="shared" si="2"/>
        <v>62</v>
      </c>
      <c r="E64" s="16">
        <f t="shared" si="7"/>
        <v>237424.72797069573</v>
      </c>
      <c r="F64" s="1">
        <f t="shared" si="8"/>
        <v>1834.4114346984406</v>
      </c>
      <c r="G64" s="16">
        <f>(8%/12)*Table7[[#This Row],[opening balance]]</f>
        <v>1582.8315198046382</v>
      </c>
      <c r="H64" s="16">
        <f>Table7[[#This Row],[monthly installment]]-Table7[[#This Row],[interest]]</f>
        <v>251.57991489380242</v>
      </c>
      <c r="I64" s="52">
        <f>Table7[[#This Row],[opening balance]]-Table7[[#This Row],[principal paid]]</f>
        <v>237173.14805580192</v>
      </c>
    </row>
    <row r="65" spans="4:9">
      <c r="D65">
        <f t="shared" si="2"/>
        <v>63</v>
      </c>
      <c r="E65" s="16">
        <f t="shared" si="7"/>
        <v>237173.14805580192</v>
      </c>
      <c r="F65" s="1">
        <f t="shared" si="8"/>
        <v>1834.4114346984406</v>
      </c>
      <c r="G65" s="16">
        <f>(8%/12)*Table7[[#This Row],[opening balance]]</f>
        <v>1581.154320372013</v>
      </c>
      <c r="H65" s="16">
        <f>Table7[[#This Row],[monthly installment]]-Table7[[#This Row],[interest]]</f>
        <v>253.25711432642765</v>
      </c>
      <c r="I65" s="52">
        <f>Table7[[#This Row],[opening balance]]-Table7[[#This Row],[principal paid]]</f>
        <v>236919.89094147549</v>
      </c>
    </row>
    <row r="66" spans="4:9">
      <c r="D66">
        <f t="shared" si="2"/>
        <v>64</v>
      </c>
      <c r="E66" s="16">
        <f t="shared" si="7"/>
        <v>236919.89094147549</v>
      </c>
      <c r="F66" s="1">
        <f t="shared" si="8"/>
        <v>1834.4114346984406</v>
      </c>
      <c r="G66" s="16">
        <f>(8%/12)*Table7[[#This Row],[opening balance]]</f>
        <v>1579.4659396098366</v>
      </c>
      <c r="H66" s="16">
        <f>Table7[[#This Row],[monthly installment]]-Table7[[#This Row],[interest]]</f>
        <v>254.94549508860405</v>
      </c>
      <c r="I66" s="52">
        <f>Table7[[#This Row],[opening balance]]-Table7[[#This Row],[principal paid]]</f>
        <v>236664.94544638688</v>
      </c>
    </row>
    <row r="67" spans="4:9">
      <c r="D67">
        <f t="shared" si="2"/>
        <v>65</v>
      </c>
      <c r="E67" s="16">
        <f t="shared" si="7"/>
        <v>236664.94544638688</v>
      </c>
      <c r="F67" s="1">
        <f t="shared" si="8"/>
        <v>1834.4114346984406</v>
      </c>
      <c r="G67" s="16">
        <f>(8%/12)*Table7[[#This Row],[opening balance]]</f>
        <v>1577.7663029759126</v>
      </c>
      <c r="H67" s="16">
        <f>Table7[[#This Row],[monthly installment]]-Table7[[#This Row],[interest]]</f>
        <v>256.64513172252805</v>
      </c>
      <c r="I67" s="52">
        <f>Table7[[#This Row],[opening balance]]-Table7[[#This Row],[principal paid]]</f>
        <v>236408.30031466435</v>
      </c>
    </row>
    <row r="68" spans="4:9">
      <c r="D68">
        <f t="shared" si="2"/>
        <v>66</v>
      </c>
      <c r="E68" s="16">
        <f t="shared" si="7"/>
        <v>236408.30031466435</v>
      </c>
      <c r="F68" s="1">
        <f t="shared" si="8"/>
        <v>1834.4114346984406</v>
      </c>
      <c r="G68" s="16">
        <f>(8%/12)*Table7[[#This Row],[opening balance]]</f>
        <v>1576.0553354310957</v>
      </c>
      <c r="H68" s="16">
        <f>Table7[[#This Row],[monthly installment]]-Table7[[#This Row],[interest]]</f>
        <v>258.35609926734492</v>
      </c>
      <c r="I68" s="52">
        <f>Table7[[#This Row],[opening balance]]-Table7[[#This Row],[principal paid]]</f>
        <v>236149.944215397</v>
      </c>
    </row>
    <row r="69" spans="4:9">
      <c r="D69">
        <f t="shared" ref="D69:D132" si="9">D68+1</f>
        <v>67</v>
      </c>
      <c r="E69" s="16">
        <f t="shared" si="7"/>
        <v>236149.944215397</v>
      </c>
      <c r="F69" s="1">
        <f t="shared" si="8"/>
        <v>1834.4114346984406</v>
      </c>
      <c r="G69" s="16">
        <f>(8%/12)*Table7[[#This Row],[opening balance]]</f>
        <v>1574.33296143598</v>
      </c>
      <c r="H69" s="16">
        <f>Table7[[#This Row],[monthly installment]]-Table7[[#This Row],[interest]]</f>
        <v>260.07847326246065</v>
      </c>
      <c r="I69" s="52">
        <f>Table7[[#This Row],[opening balance]]-Table7[[#This Row],[principal paid]]</f>
        <v>235889.86574213454</v>
      </c>
    </row>
    <row r="70" spans="4:9">
      <c r="D70">
        <f t="shared" si="9"/>
        <v>68</v>
      </c>
      <c r="E70" s="16">
        <f t="shared" si="7"/>
        <v>235889.86574213454</v>
      </c>
      <c r="F70" s="1">
        <f t="shared" si="8"/>
        <v>1834.4114346984406</v>
      </c>
      <c r="G70" s="16">
        <f>(8%/12)*Table7[[#This Row],[opening balance]]</f>
        <v>1572.5991049475638</v>
      </c>
      <c r="H70" s="16">
        <f>Table7[[#This Row],[monthly installment]]-Table7[[#This Row],[interest]]</f>
        <v>261.81232975087687</v>
      </c>
      <c r="I70" s="52">
        <f>Table7[[#This Row],[opening balance]]-Table7[[#This Row],[principal paid]]</f>
        <v>235628.05341238366</v>
      </c>
    </row>
    <row r="71" spans="4:9">
      <c r="D71">
        <f t="shared" si="9"/>
        <v>69</v>
      </c>
      <c r="E71" s="16">
        <f t="shared" si="7"/>
        <v>235628.05341238366</v>
      </c>
      <c r="F71" s="1">
        <f t="shared" si="8"/>
        <v>1834.4114346984406</v>
      </c>
      <c r="G71" s="16">
        <f>(8%/12)*Table7[[#This Row],[opening balance]]</f>
        <v>1570.853689415891</v>
      </c>
      <c r="H71" s="16">
        <f>Table7[[#This Row],[monthly installment]]-Table7[[#This Row],[interest]]</f>
        <v>263.5577452825496</v>
      </c>
      <c r="I71" s="52">
        <f>Table7[[#This Row],[opening balance]]-Table7[[#This Row],[principal paid]]</f>
        <v>235364.49566710112</v>
      </c>
    </row>
    <row r="72" spans="4:9">
      <c r="D72">
        <f t="shared" si="9"/>
        <v>70</v>
      </c>
      <c r="E72" s="16">
        <f t="shared" si="7"/>
        <v>235364.49566710112</v>
      </c>
      <c r="F72" s="1">
        <f t="shared" si="8"/>
        <v>1834.4114346984406</v>
      </c>
      <c r="G72" s="16">
        <f>(8%/12)*Table7[[#This Row],[opening balance]]</f>
        <v>1569.0966377806742</v>
      </c>
      <c r="H72" s="16">
        <f>Table7[[#This Row],[monthly installment]]-Table7[[#This Row],[interest]]</f>
        <v>265.31479691776644</v>
      </c>
      <c r="I72" s="52">
        <f>Table7[[#This Row],[opening balance]]-Table7[[#This Row],[principal paid]]</f>
        <v>235099.18087018334</v>
      </c>
    </row>
    <row r="73" spans="4:9">
      <c r="D73">
        <f t="shared" si="9"/>
        <v>71</v>
      </c>
      <c r="E73" s="16">
        <f t="shared" si="7"/>
        <v>235099.18087018334</v>
      </c>
      <c r="F73" s="1">
        <f t="shared" si="8"/>
        <v>1834.4114346984406</v>
      </c>
      <c r="G73" s="16">
        <f>(8%/12)*Table7[[#This Row],[opening balance]]</f>
        <v>1567.3278724678889</v>
      </c>
      <c r="H73" s="16">
        <f>Table7[[#This Row],[monthly installment]]-Table7[[#This Row],[interest]]</f>
        <v>267.08356223055171</v>
      </c>
      <c r="I73" s="52">
        <f>Table7[[#This Row],[opening balance]]-Table7[[#This Row],[principal paid]]</f>
        <v>234832.09730795279</v>
      </c>
    </row>
    <row r="74" spans="4:9">
      <c r="D74">
        <f t="shared" si="9"/>
        <v>72</v>
      </c>
      <c r="E74" s="16">
        <f t="shared" si="7"/>
        <v>234832.09730795279</v>
      </c>
      <c r="F74" s="1">
        <f t="shared" si="8"/>
        <v>1834.4114346984406</v>
      </c>
      <c r="G74" s="16">
        <f>(8%/12)*Table7[[#This Row],[opening balance]]</f>
        <v>1565.547315386352</v>
      </c>
      <c r="H74" s="16">
        <f>Table7[[#This Row],[monthly installment]]-Table7[[#This Row],[interest]]</f>
        <v>268.86411931208863</v>
      </c>
      <c r="I74" s="52">
        <f>Table7[[#This Row],[opening balance]]-Table7[[#This Row],[principal paid]]</f>
        <v>234563.2331886407</v>
      </c>
    </row>
    <row r="75" spans="4:9">
      <c r="D75">
        <f t="shared" si="9"/>
        <v>73</v>
      </c>
      <c r="E75" s="16">
        <f t="shared" si="7"/>
        <v>234563.2331886407</v>
      </c>
      <c r="F75" s="1">
        <f t="shared" si="8"/>
        <v>1834.4114346984406</v>
      </c>
      <c r="G75" s="16">
        <f>(8%/12)*Table7[[#This Row],[opening balance]]</f>
        <v>1563.7548879242715</v>
      </c>
      <c r="H75" s="16">
        <f>Table7[[#This Row],[monthly installment]]-Table7[[#This Row],[interest]]</f>
        <v>270.6565467741691</v>
      </c>
      <c r="I75" s="52">
        <f>Table7[[#This Row],[opening balance]]-Table7[[#This Row],[principal paid]]</f>
        <v>234292.57664186653</v>
      </c>
    </row>
    <row r="76" spans="4:9">
      <c r="D76">
        <f t="shared" si="9"/>
        <v>74</v>
      </c>
      <c r="E76" s="16">
        <f t="shared" si="7"/>
        <v>234292.57664186653</v>
      </c>
      <c r="F76" s="1">
        <f t="shared" si="8"/>
        <v>1834.4114346984406</v>
      </c>
      <c r="G76" s="16">
        <f>(8%/12)*Table7[[#This Row],[opening balance]]</f>
        <v>1561.9505109457771</v>
      </c>
      <c r="H76" s="16">
        <f>Table7[[#This Row],[monthly installment]]-Table7[[#This Row],[interest]]</f>
        <v>272.46092375266358</v>
      </c>
      <c r="I76" s="52">
        <f>Table7[[#This Row],[opening balance]]-Table7[[#This Row],[principal paid]]</f>
        <v>234020.11571811387</v>
      </c>
    </row>
    <row r="77" spans="4:9">
      <c r="D77">
        <f t="shared" si="9"/>
        <v>75</v>
      </c>
      <c r="E77" s="16">
        <f t="shared" si="7"/>
        <v>234020.11571811387</v>
      </c>
      <c r="F77" s="1">
        <f t="shared" si="8"/>
        <v>1834.4114346984406</v>
      </c>
      <c r="G77" s="16">
        <f>(8%/12)*Table7[[#This Row],[opening balance]]</f>
        <v>1560.1341047874259</v>
      </c>
      <c r="H77" s="16">
        <f>Table7[[#This Row],[monthly installment]]-Table7[[#This Row],[interest]]</f>
        <v>274.2773299110147</v>
      </c>
      <c r="I77" s="52">
        <f>Table7[[#This Row],[opening balance]]-Table7[[#This Row],[principal paid]]</f>
        <v>233745.83838820286</v>
      </c>
    </row>
    <row r="78" spans="4:9">
      <c r="D78">
        <f t="shared" si="9"/>
        <v>76</v>
      </c>
      <c r="E78" s="16">
        <f t="shared" si="7"/>
        <v>233745.83838820286</v>
      </c>
      <c r="F78" s="1">
        <f t="shared" si="8"/>
        <v>1834.4114346984406</v>
      </c>
      <c r="G78" s="16">
        <f>(8%/12)*Table7[[#This Row],[opening balance]]</f>
        <v>1558.3055892546859</v>
      </c>
      <c r="H78" s="16">
        <f>Table7[[#This Row],[monthly installment]]-Table7[[#This Row],[interest]]</f>
        <v>276.10584544375479</v>
      </c>
      <c r="I78" s="52">
        <f>Table7[[#This Row],[opening balance]]-Table7[[#This Row],[principal paid]]</f>
        <v>233469.7325427591</v>
      </c>
    </row>
    <row r="79" spans="4:9">
      <c r="D79">
        <f t="shared" si="9"/>
        <v>77</v>
      </c>
      <c r="E79" s="16">
        <f t="shared" si="7"/>
        <v>233469.7325427591</v>
      </c>
      <c r="F79" s="1">
        <f t="shared" si="8"/>
        <v>1834.4114346984406</v>
      </c>
      <c r="G79" s="16">
        <f>(8%/12)*Table7[[#This Row],[opening balance]]</f>
        <v>1556.4648836183942</v>
      </c>
      <c r="H79" s="16">
        <f>Table7[[#This Row],[monthly installment]]-Table7[[#This Row],[interest]]</f>
        <v>277.94655108004645</v>
      </c>
      <c r="I79" s="52">
        <f>Table7[[#This Row],[opening balance]]-Table7[[#This Row],[principal paid]]</f>
        <v>233191.78599167906</v>
      </c>
    </row>
    <row r="80" spans="4:9">
      <c r="D80">
        <f t="shared" si="9"/>
        <v>78</v>
      </c>
      <c r="E80" s="16">
        <f t="shared" si="7"/>
        <v>233191.78599167906</v>
      </c>
      <c r="F80" s="1">
        <f t="shared" si="8"/>
        <v>1834.4114346984406</v>
      </c>
      <c r="G80" s="16">
        <f>(8%/12)*Table7[[#This Row],[opening balance]]</f>
        <v>1554.6119066111939</v>
      </c>
      <c r="H80" s="16">
        <f>Table7[[#This Row],[monthly installment]]-Table7[[#This Row],[interest]]</f>
        <v>279.7995280872467</v>
      </c>
      <c r="I80" s="52">
        <f>Table7[[#This Row],[opening balance]]-Table7[[#This Row],[principal paid]]</f>
        <v>232911.98646359181</v>
      </c>
    </row>
    <row r="81" spans="4:9">
      <c r="D81">
        <f t="shared" si="9"/>
        <v>79</v>
      </c>
      <c r="E81" s="16">
        <f t="shared" si="7"/>
        <v>232911.98646359181</v>
      </c>
      <c r="F81" s="1">
        <f t="shared" si="8"/>
        <v>1834.4114346984406</v>
      </c>
      <c r="G81" s="16">
        <f>(8%/12)*Table7[[#This Row],[opening balance]]</f>
        <v>1552.7465764239455</v>
      </c>
      <c r="H81" s="16">
        <f>Table7[[#This Row],[monthly installment]]-Table7[[#This Row],[interest]]</f>
        <v>281.66485827449515</v>
      </c>
      <c r="I81" s="52">
        <f>Table7[[#This Row],[opening balance]]-Table7[[#This Row],[principal paid]]</f>
        <v>232630.32160531732</v>
      </c>
    </row>
    <row r="82" spans="4:9">
      <c r="D82">
        <f t="shared" si="9"/>
        <v>80</v>
      </c>
      <c r="E82" s="16">
        <f t="shared" ref="E82:E113" si="10">I81</f>
        <v>232630.32160531732</v>
      </c>
      <c r="F82" s="1">
        <f t="shared" ref="F82:F113" si="11">$B$6</f>
        <v>1834.4114346984406</v>
      </c>
      <c r="G82" s="16">
        <f>(8%/12)*Table7[[#This Row],[opening balance]]</f>
        <v>1550.8688107021155</v>
      </c>
      <c r="H82" s="16">
        <f>Table7[[#This Row],[monthly installment]]-Table7[[#This Row],[interest]]</f>
        <v>283.54262399632512</v>
      </c>
      <c r="I82" s="52">
        <f>Table7[[#This Row],[opening balance]]-Table7[[#This Row],[principal paid]]</f>
        <v>232346.778981321</v>
      </c>
    </row>
    <row r="83" spans="4:9">
      <c r="D83">
        <f t="shared" si="9"/>
        <v>81</v>
      </c>
      <c r="E83" s="16">
        <f t="shared" si="10"/>
        <v>232346.778981321</v>
      </c>
      <c r="F83" s="1">
        <f t="shared" si="11"/>
        <v>1834.4114346984406</v>
      </c>
      <c r="G83" s="16">
        <f>(8%/12)*Table7[[#This Row],[opening balance]]</f>
        <v>1548.9785265421401</v>
      </c>
      <c r="H83" s="16">
        <f>Table7[[#This Row],[monthly installment]]-Table7[[#This Row],[interest]]</f>
        <v>285.43290815630053</v>
      </c>
      <c r="I83" s="52">
        <f>Table7[[#This Row],[opening balance]]-Table7[[#This Row],[principal paid]]</f>
        <v>232061.34607316469</v>
      </c>
    </row>
    <row r="84" spans="4:9">
      <c r="D84">
        <f t="shared" si="9"/>
        <v>82</v>
      </c>
      <c r="E84" s="16">
        <f t="shared" si="10"/>
        <v>232061.34607316469</v>
      </c>
      <c r="F84" s="1">
        <f t="shared" si="11"/>
        <v>1834.4114346984406</v>
      </c>
      <c r="G84" s="16">
        <f>(8%/12)*Table7[[#This Row],[opening balance]]</f>
        <v>1547.0756404877648</v>
      </c>
      <c r="H84" s="16">
        <f>Table7[[#This Row],[monthly installment]]-Table7[[#This Row],[interest]]</f>
        <v>287.33579421067589</v>
      </c>
      <c r="I84" s="52">
        <f>Table7[[#This Row],[opening balance]]-Table7[[#This Row],[principal paid]]</f>
        <v>231774.01027895403</v>
      </c>
    </row>
    <row r="85" spans="4:9">
      <c r="D85">
        <f t="shared" si="9"/>
        <v>83</v>
      </c>
      <c r="E85" s="16">
        <f t="shared" si="10"/>
        <v>231774.01027895403</v>
      </c>
      <c r="F85" s="1">
        <f t="shared" si="11"/>
        <v>1834.4114346984406</v>
      </c>
      <c r="G85" s="16">
        <f>(8%/12)*Table7[[#This Row],[opening balance]]</f>
        <v>1545.1600685263602</v>
      </c>
      <c r="H85" s="16">
        <f>Table7[[#This Row],[monthly installment]]-Table7[[#This Row],[interest]]</f>
        <v>289.25136617208045</v>
      </c>
      <c r="I85" s="52">
        <f>Table7[[#This Row],[opening balance]]-Table7[[#This Row],[principal paid]]</f>
        <v>231484.75891278195</v>
      </c>
    </row>
    <row r="86" spans="4:9">
      <c r="D86">
        <f t="shared" si="9"/>
        <v>84</v>
      </c>
      <c r="E86" s="16">
        <f t="shared" si="10"/>
        <v>231484.75891278195</v>
      </c>
      <c r="F86" s="1">
        <f t="shared" si="11"/>
        <v>1834.4114346984406</v>
      </c>
      <c r="G86" s="16">
        <f>(8%/12)*Table7[[#This Row],[opening balance]]</f>
        <v>1543.231726085213</v>
      </c>
      <c r="H86" s="16">
        <f>Table7[[#This Row],[monthly installment]]-Table7[[#This Row],[interest]]</f>
        <v>291.1797086132276</v>
      </c>
      <c r="I86" s="52">
        <f>Table7[[#This Row],[opening balance]]-Table7[[#This Row],[principal paid]]</f>
        <v>231193.57920416872</v>
      </c>
    </row>
    <row r="87" spans="4:9">
      <c r="D87">
        <f t="shared" si="9"/>
        <v>85</v>
      </c>
      <c r="E87" s="16">
        <f t="shared" si="10"/>
        <v>231193.57920416872</v>
      </c>
      <c r="F87" s="1">
        <f t="shared" si="11"/>
        <v>1834.4114346984406</v>
      </c>
      <c r="G87" s="16">
        <f>(8%/12)*Table7[[#This Row],[opening balance]]</f>
        <v>1541.2905280277917</v>
      </c>
      <c r="H87" s="16">
        <f>Table7[[#This Row],[monthly installment]]-Table7[[#This Row],[interest]]</f>
        <v>293.12090667064899</v>
      </c>
      <c r="I87" s="52">
        <f>Table7[[#This Row],[opening balance]]-Table7[[#This Row],[principal paid]]</f>
        <v>230900.45829749809</v>
      </c>
    </row>
    <row r="88" spans="4:9">
      <c r="D88">
        <f t="shared" si="9"/>
        <v>86</v>
      </c>
      <c r="E88" s="16">
        <f t="shared" si="10"/>
        <v>230900.45829749809</v>
      </c>
      <c r="F88" s="1">
        <f t="shared" si="11"/>
        <v>1834.4114346984406</v>
      </c>
      <c r="G88" s="16">
        <f>(8%/12)*Table7[[#This Row],[opening balance]]</f>
        <v>1539.3363886499874</v>
      </c>
      <c r="H88" s="16">
        <f>Table7[[#This Row],[monthly installment]]-Table7[[#This Row],[interest]]</f>
        <v>295.07504604845326</v>
      </c>
      <c r="I88" s="52">
        <f>Table7[[#This Row],[opening balance]]-Table7[[#This Row],[principal paid]]</f>
        <v>230605.38325144965</v>
      </c>
    </row>
    <row r="89" spans="4:9">
      <c r="D89">
        <f t="shared" si="9"/>
        <v>87</v>
      </c>
      <c r="E89" s="16">
        <f t="shared" si="10"/>
        <v>230605.38325144965</v>
      </c>
      <c r="F89" s="1">
        <f t="shared" si="11"/>
        <v>1834.4114346984406</v>
      </c>
      <c r="G89" s="16">
        <f>(8%/12)*Table7[[#This Row],[opening balance]]</f>
        <v>1537.3692216763311</v>
      </c>
      <c r="H89" s="16">
        <f>Table7[[#This Row],[monthly installment]]-Table7[[#This Row],[interest]]</f>
        <v>297.04221302210954</v>
      </c>
      <c r="I89" s="52">
        <f>Table7[[#This Row],[opening balance]]-Table7[[#This Row],[principal paid]]</f>
        <v>230308.34103842755</v>
      </c>
    </row>
    <row r="90" spans="4:9">
      <c r="D90">
        <f t="shared" si="9"/>
        <v>88</v>
      </c>
      <c r="E90" s="16">
        <f t="shared" si="10"/>
        <v>230308.34103842755</v>
      </c>
      <c r="F90" s="1">
        <f t="shared" si="11"/>
        <v>1834.4114346984406</v>
      </c>
      <c r="G90" s="16">
        <f>(8%/12)*Table7[[#This Row],[opening balance]]</f>
        <v>1535.3889402561838</v>
      </c>
      <c r="H90" s="16">
        <f>Table7[[#This Row],[monthly installment]]-Table7[[#This Row],[interest]]</f>
        <v>299.02249444225686</v>
      </c>
      <c r="I90" s="52">
        <f>Table7[[#This Row],[opening balance]]-Table7[[#This Row],[principal paid]]</f>
        <v>230009.31854398528</v>
      </c>
    </row>
    <row r="91" spans="4:9">
      <c r="D91">
        <f t="shared" si="9"/>
        <v>89</v>
      </c>
      <c r="E91" s="16">
        <f t="shared" si="10"/>
        <v>230009.31854398528</v>
      </c>
      <c r="F91" s="1">
        <f t="shared" si="11"/>
        <v>1834.4114346984406</v>
      </c>
      <c r="G91" s="16">
        <f>(8%/12)*Table7[[#This Row],[opening balance]]</f>
        <v>1533.395456959902</v>
      </c>
      <c r="H91" s="16">
        <f>Table7[[#This Row],[monthly installment]]-Table7[[#This Row],[interest]]</f>
        <v>301.0159777385386</v>
      </c>
      <c r="I91" s="52">
        <f>Table7[[#This Row],[opening balance]]-Table7[[#This Row],[principal paid]]</f>
        <v>229708.30256624674</v>
      </c>
    </row>
    <row r="92" spans="4:9">
      <c r="D92">
        <f t="shared" si="9"/>
        <v>90</v>
      </c>
      <c r="E92" s="16">
        <f t="shared" si="10"/>
        <v>229708.30256624674</v>
      </c>
      <c r="F92" s="1">
        <f t="shared" si="11"/>
        <v>1834.4114346984406</v>
      </c>
      <c r="G92" s="16">
        <f>(8%/12)*Table7[[#This Row],[opening balance]]</f>
        <v>1531.3886837749783</v>
      </c>
      <c r="H92" s="16">
        <f>Table7[[#This Row],[monthly installment]]-Table7[[#This Row],[interest]]</f>
        <v>303.02275092346235</v>
      </c>
      <c r="I92" s="52">
        <f>Table7[[#This Row],[opening balance]]-Table7[[#This Row],[principal paid]]</f>
        <v>229405.27981532327</v>
      </c>
    </row>
    <row r="93" spans="4:9">
      <c r="D93">
        <f t="shared" si="9"/>
        <v>91</v>
      </c>
      <c r="E93" s="16">
        <f t="shared" si="10"/>
        <v>229405.27981532327</v>
      </c>
      <c r="F93" s="1">
        <f t="shared" si="11"/>
        <v>1834.4114346984406</v>
      </c>
      <c r="G93" s="16">
        <f>(8%/12)*Table7[[#This Row],[opening balance]]</f>
        <v>1529.3685321021553</v>
      </c>
      <c r="H93" s="16">
        <f>Table7[[#This Row],[monthly installment]]-Table7[[#This Row],[interest]]</f>
        <v>305.04290259628533</v>
      </c>
      <c r="I93" s="52">
        <f>Table7[[#This Row],[opening balance]]-Table7[[#This Row],[principal paid]]</f>
        <v>229100.23691272698</v>
      </c>
    </row>
    <row r="94" spans="4:9">
      <c r="D94">
        <f t="shared" si="9"/>
        <v>92</v>
      </c>
      <c r="E94" s="16">
        <f t="shared" si="10"/>
        <v>229100.23691272698</v>
      </c>
      <c r="F94" s="1">
        <f t="shared" si="11"/>
        <v>1834.4114346984406</v>
      </c>
      <c r="G94" s="16">
        <f>(8%/12)*Table7[[#This Row],[opening balance]]</f>
        <v>1527.3349127515132</v>
      </c>
      <c r="H94" s="16">
        <f>Table7[[#This Row],[monthly installment]]-Table7[[#This Row],[interest]]</f>
        <v>307.07652194692741</v>
      </c>
      <c r="I94" s="52">
        <f>Table7[[#This Row],[opening balance]]-Table7[[#This Row],[principal paid]]</f>
        <v>228793.16039078005</v>
      </c>
    </row>
    <row r="95" spans="4:9">
      <c r="D95">
        <f t="shared" si="9"/>
        <v>93</v>
      </c>
      <c r="E95" s="16">
        <f t="shared" si="10"/>
        <v>228793.16039078005</v>
      </c>
      <c r="F95" s="1">
        <f t="shared" si="11"/>
        <v>1834.4114346984406</v>
      </c>
      <c r="G95" s="16">
        <f>(8%/12)*Table7[[#This Row],[opening balance]]</f>
        <v>1525.2877359385338</v>
      </c>
      <c r="H95" s="16">
        <f>Table7[[#This Row],[monthly installment]]-Table7[[#This Row],[interest]]</f>
        <v>309.1236987599068</v>
      </c>
      <c r="I95" s="52">
        <f>Table7[[#This Row],[opening balance]]-Table7[[#This Row],[principal paid]]</f>
        <v>228484.03669202013</v>
      </c>
    </row>
    <row r="96" spans="4:9">
      <c r="D96">
        <f t="shared" si="9"/>
        <v>94</v>
      </c>
      <c r="E96" s="16">
        <f t="shared" si="10"/>
        <v>228484.03669202013</v>
      </c>
      <c r="F96" s="1">
        <f t="shared" si="11"/>
        <v>1834.4114346984406</v>
      </c>
      <c r="G96" s="16">
        <f>(8%/12)*Table7[[#This Row],[opening balance]]</f>
        <v>1523.2269112801343</v>
      </c>
      <c r="H96" s="16">
        <f>Table7[[#This Row],[monthly installment]]-Table7[[#This Row],[interest]]</f>
        <v>311.1845234183063</v>
      </c>
      <c r="I96" s="52">
        <f>Table7[[#This Row],[opening balance]]-Table7[[#This Row],[principal paid]]</f>
        <v>228172.85216860182</v>
      </c>
    </row>
    <row r="97" spans="4:9">
      <c r="D97">
        <f t="shared" si="9"/>
        <v>95</v>
      </c>
      <c r="E97" s="16">
        <f t="shared" si="10"/>
        <v>228172.85216860182</v>
      </c>
      <c r="F97" s="1">
        <f t="shared" si="11"/>
        <v>1834.4114346984406</v>
      </c>
      <c r="G97" s="16">
        <f>(8%/12)*Table7[[#This Row],[opening balance]]</f>
        <v>1521.152347790679</v>
      </c>
      <c r="H97" s="16">
        <f>Table7[[#This Row],[monthly installment]]-Table7[[#This Row],[interest]]</f>
        <v>313.25908690776168</v>
      </c>
      <c r="I97" s="52">
        <f>Table7[[#This Row],[opening balance]]-Table7[[#This Row],[principal paid]]</f>
        <v>227859.59308169407</v>
      </c>
    </row>
    <row r="98" spans="4:9">
      <c r="D98">
        <f t="shared" si="9"/>
        <v>96</v>
      </c>
      <c r="E98" s="16">
        <f t="shared" si="10"/>
        <v>227859.59308169407</v>
      </c>
      <c r="F98" s="1">
        <f t="shared" si="11"/>
        <v>1834.4114346984406</v>
      </c>
      <c r="G98" s="16">
        <f>(8%/12)*Table7[[#This Row],[opening balance]]</f>
        <v>1519.0639538779606</v>
      </c>
      <c r="H98" s="16">
        <f>Table7[[#This Row],[monthly installment]]-Table7[[#This Row],[interest]]</f>
        <v>315.34748082048009</v>
      </c>
      <c r="I98" s="52">
        <f>Table7[[#This Row],[opening balance]]-Table7[[#This Row],[principal paid]]</f>
        <v>227544.24560087358</v>
      </c>
    </row>
    <row r="99" spans="4:9">
      <c r="D99">
        <f t="shared" si="9"/>
        <v>97</v>
      </c>
      <c r="E99" s="16">
        <f t="shared" si="10"/>
        <v>227544.24560087358</v>
      </c>
      <c r="F99" s="1">
        <f t="shared" si="11"/>
        <v>1834.4114346984406</v>
      </c>
      <c r="G99" s="16">
        <f>(8%/12)*Table7[[#This Row],[opening balance]]</f>
        <v>1516.9616373391573</v>
      </c>
      <c r="H99" s="16">
        <f>Table7[[#This Row],[monthly installment]]-Table7[[#This Row],[interest]]</f>
        <v>317.44979735928337</v>
      </c>
      <c r="I99" s="52">
        <f>Table7[[#This Row],[opening balance]]-Table7[[#This Row],[principal paid]]</f>
        <v>227226.79580351428</v>
      </c>
    </row>
    <row r="100" spans="4:9">
      <c r="D100">
        <f t="shared" si="9"/>
        <v>98</v>
      </c>
      <c r="E100" s="16">
        <f t="shared" si="10"/>
        <v>227226.79580351428</v>
      </c>
      <c r="F100" s="1">
        <f t="shared" si="11"/>
        <v>1834.4114346984406</v>
      </c>
      <c r="G100" s="16">
        <f>(8%/12)*Table7[[#This Row],[opening balance]]</f>
        <v>1514.8453053567619</v>
      </c>
      <c r="H100" s="16">
        <f>Table7[[#This Row],[monthly installment]]-Table7[[#This Row],[interest]]</f>
        <v>319.56612934167879</v>
      </c>
      <c r="I100" s="52">
        <f>Table7[[#This Row],[opening balance]]-Table7[[#This Row],[principal paid]]</f>
        <v>226907.22967417259</v>
      </c>
    </row>
    <row r="101" spans="4:9">
      <c r="D101">
        <f t="shared" si="9"/>
        <v>99</v>
      </c>
      <c r="E101" s="16">
        <f t="shared" si="10"/>
        <v>226907.22967417259</v>
      </c>
      <c r="F101" s="1">
        <f t="shared" si="11"/>
        <v>1834.4114346984406</v>
      </c>
      <c r="G101" s="16">
        <f>(8%/12)*Table7[[#This Row],[opening balance]]</f>
        <v>1512.7148644944841</v>
      </c>
      <c r="H101" s="16">
        <f>Table7[[#This Row],[monthly installment]]-Table7[[#This Row],[interest]]</f>
        <v>321.69657020395653</v>
      </c>
      <c r="I101" s="52">
        <f>Table7[[#This Row],[opening balance]]-Table7[[#This Row],[principal paid]]</f>
        <v>226585.53310396863</v>
      </c>
    </row>
    <row r="102" spans="4:9">
      <c r="D102">
        <f t="shared" si="9"/>
        <v>100</v>
      </c>
      <c r="E102" s="16">
        <f t="shared" si="10"/>
        <v>226585.53310396863</v>
      </c>
      <c r="F102" s="1">
        <f t="shared" si="11"/>
        <v>1834.4114346984406</v>
      </c>
      <c r="G102" s="16">
        <f>(8%/12)*Table7[[#This Row],[opening balance]]</f>
        <v>1510.5702206931244</v>
      </c>
      <c r="H102" s="16">
        <f>Table7[[#This Row],[monthly installment]]-Table7[[#This Row],[interest]]</f>
        <v>323.84121400531626</v>
      </c>
      <c r="I102" s="52">
        <f>Table7[[#This Row],[opening balance]]-Table7[[#This Row],[principal paid]]</f>
        <v>226261.69188996332</v>
      </c>
    </row>
    <row r="103" spans="4:9">
      <c r="D103">
        <f t="shared" si="9"/>
        <v>101</v>
      </c>
      <c r="E103" s="16">
        <f t="shared" si="10"/>
        <v>226261.69188996332</v>
      </c>
      <c r="F103" s="1">
        <f t="shared" si="11"/>
        <v>1834.4114346984406</v>
      </c>
      <c r="G103" s="16">
        <f>(8%/12)*Table7[[#This Row],[opening balance]]</f>
        <v>1508.4112792664223</v>
      </c>
      <c r="H103" s="16">
        <f>Table7[[#This Row],[monthly installment]]-Table7[[#This Row],[interest]]</f>
        <v>326.00015543201835</v>
      </c>
      <c r="I103" s="52">
        <f>Table7[[#This Row],[opening balance]]-Table7[[#This Row],[principal paid]]</f>
        <v>225935.69173453131</v>
      </c>
    </row>
    <row r="104" spans="4:9">
      <c r="D104">
        <f t="shared" si="9"/>
        <v>102</v>
      </c>
      <c r="E104" s="16">
        <f t="shared" si="10"/>
        <v>225935.69173453131</v>
      </c>
      <c r="F104" s="1">
        <f t="shared" si="11"/>
        <v>1834.4114346984406</v>
      </c>
      <c r="G104" s="16">
        <f>(8%/12)*Table7[[#This Row],[opening balance]]</f>
        <v>1506.2379448968754</v>
      </c>
      <c r="H104" s="16">
        <f>Table7[[#This Row],[monthly installment]]-Table7[[#This Row],[interest]]</f>
        <v>328.17348980156521</v>
      </c>
      <c r="I104" s="52">
        <f>Table7[[#This Row],[opening balance]]-Table7[[#This Row],[principal paid]]</f>
        <v>225607.51824472976</v>
      </c>
    </row>
    <row r="105" spans="4:9">
      <c r="D105">
        <f t="shared" si="9"/>
        <v>103</v>
      </c>
      <c r="E105" s="16">
        <f t="shared" si="10"/>
        <v>225607.51824472976</v>
      </c>
      <c r="F105" s="1">
        <f t="shared" si="11"/>
        <v>1834.4114346984406</v>
      </c>
      <c r="G105" s="16">
        <f>(8%/12)*Table7[[#This Row],[opening balance]]</f>
        <v>1504.0501216315317</v>
      </c>
      <c r="H105" s="16">
        <f>Table7[[#This Row],[monthly installment]]-Table7[[#This Row],[interest]]</f>
        <v>330.36131306690891</v>
      </c>
      <c r="I105" s="52">
        <f>Table7[[#This Row],[opening balance]]-Table7[[#This Row],[principal paid]]</f>
        <v>225277.15693166284</v>
      </c>
    </row>
    <row r="106" spans="4:9">
      <c r="D106">
        <f t="shared" si="9"/>
        <v>104</v>
      </c>
      <c r="E106" s="16">
        <f t="shared" si="10"/>
        <v>225277.15693166284</v>
      </c>
      <c r="F106" s="1">
        <f t="shared" si="11"/>
        <v>1834.4114346984406</v>
      </c>
      <c r="G106" s="16">
        <f>(8%/12)*Table7[[#This Row],[opening balance]]</f>
        <v>1501.8477128777524</v>
      </c>
      <c r="H106" s="16">
        <f>Table7[[#This Row],[monthly installment]]-Table7[[#This Row],[interest]]</f>
        <v>332.56372182068822</v>
      </c>
      <c r="I106" s="52">
        <f>Table7[[#This Row],[opening balance]]-Table7[[#This Row],[principal paid]]</f>
        <v>224944.59320984216</v>
      </c>
    </row>
    <row r="107" spans="4:9">
      <c r="D107">
        <f t="shared" si="9"/>
        <v>105</v>
      </c>
      <c r="E107" s="16">
        <f t="shared" si="10"/>
        <v>224944.59320984216</v>
      </c>
      <c r="F107" s="1">
        <f t="shared" si="11"/>
        <v>1834.4114346984406</v>
      </c>
      <c r="G107" s="16">
        <f>(8%/12)*Table7[[#This Row],[opening balance]]</f>
        <v>1499.6306213989478</v>
      </c>
      <c r="H107" s="16">
        <f>Table7[[#This Row],[monthly installment]]-Table7[[#This Row],[interest]]</f>
        <v>334.78081329949282</v>
      </c>
      <c r="I107" s="52">
        <f>Table7[[#This Row],[opening balance]]-Table7[[#This Row],[principal paid]]</f>
        <v>224609.81239654266</v>
      </c>
    </row>
    <row r="108" spans="4:9">
      <c r="D108">
        <f t="shared" si="9"/>
        <v>106</v>
      </c>
      <c r="E108" s="16">
        <f t="shared" si="10"/>
        <v>224609.81239654266</v>
      </c>
      <c r="F108" s="1">
        <f t="shared" si="11"/>
        <v>1834.4114346984406</v>
      </c>
      <c r="G108" s="16">
        <f>(8%/12)*Table7[[#This Row],[opening balance]]</f>
        <v>1497.3987493102845</v>
      </c>
      <c r="H108" s="16">
        <f>Table7[[#This Row],[monthly installment]]-Table7[[#This Row],[interest]]</f>
        <v>337.01268538815611</v>
      </c>
      <c r="I108" s="52">
        <f>Table7[[#This Row],[opening balance]]-Table7[[#This Row],[principal paid]]</f>
        <v>224272.79971115451</v>
      </c>
    </row>
    <row r="109" spans="4:9">
      <c r="D109">
        <f t="shared" si="9"/>
        <v>107</v>
      </c>
      <c r="E109" s="16">
        <f t="shared" si="10"/>
        <v>224272.79971115451</v>
      </c>
      <c r="F109" s="1">
        <f t="shared" si="11"/>
        <v>1834.4114346984406</v>
      </c>
      <c r="G109" s="16">
        <f>(8%/12)*Table7[[#This Row],[opening balance]]</f>
        <v>1495.1519980743635</v>
      </c>
      <c r="H109" s="16">
        <f>Table7[[#This Row],[monthly installment]]-Table7[[#This Row],[interest]]</f>
        <v>339.25943662407713</v>
      </c>
      <c r="I109" s="52">
        <f>Table7[[#This Row],[opening balance]]-Table7[[#This Row],[principal paid]]</f>
        <v>223933.54027453045</v>
      </c>
    </row>
    <row r="110" spans="4:9">
      <c r="D110">
        <f t="shared" si="9"/>
        <v>108</v>
      </c>
      <c r="E110" s="16">
        <f t="shared" si="10"/>
        <v>223933.54027453045</v>
      </c>
      <c r="F110" s="1">
        <f t="shared" si="11"/>
        <v>1834.4114346984406</v>
      </c>
      <c r="G110" s="16">
        <f>(8%/12)*Table7[[#This Row],[opening balance]]</f>
        <v>1492.8902684968698</v>
      </c>
      <c r="H110" s="16">
        <f>Table7[[#This Row],[monthly installment]]-Table7[[#This Row],[interest]]</f>
        <v>341.52116620157085</v>
      </c>
      <c r="I110" s="52">
        <f>Table7[[#This Row],[opening balance]]-Table7[[#This Row],[principal paid]]</f>
        <v>223592.01910832888</v>
      </c>
    </row>
    <row r="111" spans="4:9">
      <c r="D111">
        <f t="shared" si="9"/>
        <v>109</v>
      </c>
      <c r="E111" s="16">
        <f t="shared" si="10"/>
        <v>223592.01910832888</v>
      </c>
      <c r="F111" s="1">
        <f t="shared" si="11"/>
        <v>1834.4114346984406</v>
      </c>
      <c r="G111" s="16">
        <f>(8%/12)*Table7[[#This Row],[opening balance]]</f>
        <v>1490.6134607221927</v>
      </c>
      <c r="H111" s="16">
        <f>Table7[[#This Row],[monthly installment]]-Table7[[#This Row],[interest]]</f>
        <v>343.79797397624793</v>
      </c>
      <c r="I111" s="52">
        <f>Table7[[#This Row],[opening balance]]-Table7[[#This Row],[principal paid]]</f>
        <v>223248.22113435264</v>
      </c>
    </row>
    <row r="112" spans="4:9">
      <c r="D112">
        <f t="shared" si="9"/>
        <v>110</v>
      </c>
      <c r="E112" s="16">
        <f t="shared" si="10"/>
        <v>223248.22113435264</v>
      </c>
      <c r="F112" s="1">
        <f t="shared" si="11"/>
        <v>1834.4114346984406</v>
      </c>
      <c r="G112" s="16">
        <f>(8%/12)*Table7[[#This Row],[opening balance]]</f>
        <v>1488.3214742290177</v>
      </c>
      <c r="H112" s="16">
        <f>Table7[[#This Row],[monthly installment]]-Table7[[#This Row],[interest]]</f>
        <v>346.08996046942298</v>
      </c>
      <c r="I112" s="52">
        <f>Table7[[#This Row],[opening balance]]-Table7[[#This Row],[principal paid]]</f>
        <v>222902.13117388322</v>
      </c>
    </row>
    <row r="113" spans="4:9">
      <c r="D113">
        <f t="shared" si="9"/>
        <v>111</v>
      </c>
      <c r="E113" s="16">
        <f t="shared" si="10"/>
        <v>222902.13117388322</v>
      </c>
      <c r="F113" s="1">
        <f t="shared" si="11"/>
        <v>1834.4114346984406</v>
      </c>
      <c r="G113" s="16">
        <f>(8%/12)*Table7[[#This Row],[opening balance]]</f>
        <v>1486.0142078258882</v>
      </c>
      <c r="H113" s="16">
        <f>Table7[[#This Row],[monthly installment]]-Table7[[#This Row],[interest]]</f>
        <v>348.39722687255244</v>
      </c>
      <c r="I113" s="52">
        <f>Table7[[#This Row],[opening balance]]-Table7[[#This Row],[principal paid]]</f>
        <v>222553.73394701065</v>
      </c>
    </row>
    <row r="114" spans="4:9">
      <c r="D114">
        <f t="shared" si="9"/>
        <v>112</v>
      </c>
      <c r="E114" s="16">
        <f t="shared" ref="E114:E134" si="12">I113</f>
        <v>222553.73394701065</v>
      </c>
      <c r="F114" s="1">
        <f t="shared" ref="F114:F134" si="13">$B$6</f>
        <v>1834.4114346984406</v>
      </c>
      <c r="G114" s="16">
        <f>(8%/12)*Table7[[#This Row],[opening balance]]</f>
        <v>1483.6915596467377</v>
      </c>
      <c r="H114" s="16">
        <f>Table7[[#This Row],[monthly installment]]-Table7[[#This Row],[interest]]</f>
        <v>350.71987505170296</v>
      </c>
      <c r="I114" s="52">
        <f>Table7[[#This Row],[opening balance]]-Table7[[#This Row],[principal paid]]</f>
        <v>222203.01407195895</v>
      </c>
    </row>
    <row r="115" spans="4:9">
      <c r="D115">
        <f t="shared" si="9"/>
        <v>113</v>
      </c>
      <c r="E115" s="16">
        <f t="shared" si="12"/>
        <v>222203.01407195895</v>
      </c>
      <c r="F115" s="1">
        <f t="shared" si="13"/>
        <v>1834.4114346984406</v>
      </c>
      <c r="G115" s="16">
        <f>(8%/12)*Table7[[#This Row],[opening balance]]</f>
        <v>1481.3534271463932</v>
      </c>
      <c r="H115" s="16">
        <f>Table7[[#This Row],[monthly installment]]-Table7[[#This Row],[interest]]</f>
        <v>353.05800755204746</v>
      </c>
      <c r="I115" s="52">
        <f>Table7[[#This Row],[opening balance]]-Table7[[#This Row],[principal paid]]</f>
        <v>221849.9560644069</v>
      </c>
    </row>
    <row r="116" spans="4:9">
      <c r="D116">
        <f t="shared" si="9"/>
        <v>114</v>
      </c>
      <c r="E116" s="16">
        <f t="shared" si="12"/>
        <v>221849.9560644069</v>
      </c>
      <c r="F116" s="1">
        <f t="shared" si="13"/>
        <v>1834.4114346984406</v>
      </c>
      <c r="G116" s="16">
        <f>(8%/12)*Table7[[#This Row],[opening balance]]</f>
        <v>1478.999707096046</v>
      </c>
      <c r="H116" s="16">
        <f>Table7[[#This Row],[monthly installment]]-Table7[[#This Row],[interest]]</f>
        <v>355.41172760239465</v>
      </c>
      <c r="I116" s="52">
        <f>Table7[[#This Row],[opening balance]]-Table7[[#This Row],[principal paid]]</f>
        <v>221494.54433680451</v>
      </c>
    </row>
    <row r="117" spans="4:9">
      <c r="D117">
        <f t="shared" si="9"/>
        <v>115</v>
      </c>
      <c r="E117" s="16">
        <f t="shared" si="12"/>
        <v>221494.54433680451</v>
      </c>
      <c r="F117" s="1">
        <f t="shared" si="13"/>
        <v>1834.4114346984406</v>
      </c>
      <c r="G117" s="16">
        <f>(8%/12)*Table7[[#This Row],[opening balance]]</f>
        <v>1476.6302955786969</v>
      </c>
      <c r="H117" s="16">
        <f>Table7[[#This Row],[monthly installment]]-Table7[[#This Row],[interest]]</f>
        <v>357.78113911974378</v>
      </c>
      <c r="I117" s="52">
        <f>Table7[[#This Row],[opening balance]]-Table7[[#This Row],[principal paid]]</f>
        <v>221136.76319768478</v>
      </c>
    </row>
    <row r="118" spans="4:9">
      <c r="D118">
        <f t="shared" si="9"/>
        <v>116</v>
      </c>
      <c r="E118" s="16">
        <f t="shared" si="12"/>
        <v>221136.76319768478</v>
      </c>
      <c r="F118" s="1">
        <f t="shared" si="13"/>
        <v>1834.4114346984406</v>
      </c>
      <c r="G118" s="16">
        <f>(8%/12)*Table7[[#This Row],[opening balance]]</f>
        <v>1474.2450879845653</v>
      </c>
      <c r="H118" s="16">
        <f>Table7[[#This Row],[monthly installment]]-Table7[[#This Row],[interest]]</f>
        <v>360.16634671387533</v>
      </c>
      <c r="I118" s="52">
        <f>Table7[[#This Row],[opening balance]]-Table7[[#This Row],[principal paid]]</f>
        <v>220776.59685097091</v>
      </c>
    </row>
    <row r="119" spans="4:9">
      <c r="D119">
        <f t="shared" si="9"/>
        <v>117</v>
      </c>
      <c r="E119" s="16">
        <f t="shared" si="12"/>
        <v>220776.59685097091</v>
      </c>
      <c r="F119" s="1">
        <f t="shared" si="13"/>
        <v>1834.4114346984406</v>
      </c>
      <c r="G119" s="16">
        <f>(8%/12)*Table7[[#This Row],[opening balance]]</f>
        <v>1471.8439790064729</v>
      </c>
      <c r="H119" s="16">
        <f>Table7[[#This Row],[monthly installment]]-Table7[[#This Row],[interest]]</f>
        <v>362.56745569196778</v>
      </c>
      <c r="I119" s="52">
        <f>Table7[[#This Row],[opening balance]]-Table7[[#This Row],[principal paid]]</f>
        <v>220414.02939527895</v>
      </c>
    </row>
    <row r="120" spans="4:9">
      <c r="D120">
        <f t="shared" si="9"/>
        <v>118</v>
      </c>
      <c r="E120" s="16">
        <f t="shared" si="12"/>
        <v>220414.02939527895</v>
      </c>
      <c r="F120" s="1">
        <f t="shared" si="13"/>
        <v>1834.4114346984406</v>
      </c>
      <c r="G120" s="16">
        <f>(8%/12)*Table7[[#This Row],[opening balance]]</f>
        <v>1469.4268626351932</v>
      </c>
      <c r="H120" s="16">
        <f>Table7[[#This Row],[monthly installment]]-Table7[[#This Row],[interest]]</f>
        <v>364.98457206324747</v>
      </c>
      <c r="I120" s="52">
        <f>Table7[[#This Row],[opening balance]]-Table7[[#This Row],[principal paid]]</f>
        <v>220049.04482321569</v>
      </c>
    </row>
    <row r="121" spans="4:9">
      <c r="D121">
        <f t="shared" si="9"/>
        <v>119</v>
      </c>
      <c r="E121" s="16">
        <f t="shared" si="12"/>
        <v>220049.04482321569</v>
      </c>
      <c r="F121" s="1">
        <f t="shared" si="13"/>
        <v>1834.4114346984406</v>
      </c>
      <c r="G121" s="16">
        <f>(8%/12)*Table7[[#This Row],[opening balance]]</f>
        <v>1466.9936321547714</v>
      </c>
      <c r="H121" s="16">
        <f>Table7[[#This Row],[monthly installment]]-Table7[[#This Row],[interest]]</f>
        <v>367.41780254366927</v>
      </c>
      <c r="I121" s="52">
        <f>Table7[[#This Row],[opening balance]]-Table7[[#This Row],[principal paid]]</f>
        <v>219681.62702067202</v>
      </c>
    </row>
    <row r="122" spans="4:9">
      <c r="D122" s="74">
        <f t="shared" si="9"/>
        <v>120</v>
      </c>
      <c r="E122" s="78">
        <f t="shared" si="12"/>
        <v>219681.62702067202</v>
      </c>
      <c r="F122" s="76">
        <f t="shared" si="13"/>
        <v>1834.4114346984406</v>
      </c>
      <c r="G122" s="78">
        <f>(8%/12)*Table7[[#This Row],[opening balance]]</f>
        <v>1464.5441801378136</v>
      </c>
      <c r="H122" s="78">
        <f>Table7[[#This Row],[monthly installment]]-Table7[[#This Row],[interest]]</f>
        <v>369.86725456062709</v>
      </c>
      <c r="I122" s="75">
        <f>Table7[[#This Row],[opening balance]]-Table7[[#This Row],[principal paid]]</f>
        <v>219311.75976611138</v>
      </c>
    </row>
    <row r="123" spans="4:9">
      <c r="D123">
        <f t="shared" si="9"/>
        <v>121</v>
      </c>
      <c r="E123" s="16">
        <f t="shared" si="12"/>
        <v>219311.75976611138</v>
      </c>
      <c r="F123" s="1">
        <f>$B$11</f>
        <v>1571.2175618594374</v>
      </c>
      <c r="G123" s="16">
        <f>(6%/12)*Table7[[#This Row],[opening balance]]</f>
        <v>1096.558798830557</v>
      </c>
      <c r="H123" s="16">
        <f>Table7[[#This Row],[monthly installment]]-Table7[[#This Row],[interest]]</f>
        <v>474.65876302888046</v>
      </c>
      <c r="I123" s="52">
        <f>Table7[[#This Row],[opening balance]]-Table7[[#This Row],[principal paid]]</f>
        <v>218837.1010030825</v>
      </c>
    </row>
    <row r="124" spans="4:9">
      <c r="D124">
        <f t="shared" si="9"/>
        <v>122</v>
      </c>
      <c r="E124" s="16">
        <f t="shared" si="12"/>
        <v>218837.1010030825</v>
      </c>
      <c r="F124" s="1">
        <f t="shared" ref="F124:F185" si="14">$B$11</f>
        <v>1571.2175618594374</v>
      </c>
      <c r="G124" s="16">
        <f>(6%/12)*Table7[[#This Row],[opening balance]]</f>
        <v>1094.1855050154124</v>
      </c>
      <c r="H124" s="16">
        <f>Table7[[#This Row],[monthly installment]]-Table7[[#This Row],[interest]]</f>
        <v>477.03205684402496</v>
      </c>
      <c r="I124" s="52">
        <f>Table7[[#This Row],[opening balance]]-Table7[[#This Row],[principal paid]]</f>
        <v>218360.06894623846</v>
      </c>
    </row>
    <row r="125" spans="4:9">
      <c r="D125">
        <f t="shared" si="9"/>
        <v>123</v>
      </c>
      <c r="E125" s="16">
        <f t="shared" si="12"/>
        <v>218360.06894623846</v>
      </c>
      <c r="F125" s="1">
        <f t="shared" si="14"/>
        <v>1571.2175618594374</v>
      </c>
      <c r="G125" s="16">
        <f>(6%/12)*Table7[[#This Row],[opening balance]]</f>
        <v>1091.8003447311924</v>
      </c>
      <c r="H125" s="16">
        <f>Table7[[#This Row],[monthly installment]]-Table7[[#This Row],[interest]]</f>
        <v>479.41721712824506</v>
      </c>
      <c r="I125" s="52">
        <f>Table7[[#This Row],[opening balance]]-Table7[[#This Row],[principal paid]]</f>
        <v>217880.65172911022</v>
      </c>
    </row>
    <row r="126" spans="4:9">
      <c r="D126">
        <f t="shared" si="9"/>
        <v>124</v>
      </c>
      <c r="E126" s="16">
        <f t="shared" si="12"/>
        <v>217880.65172911022</v>
      </c>
      <c r="F126" s="1">
        <f t="shared" si="14"/>
        <v>1571.2175618594374</v>
      </c>
      <c r="G126" s="16">
        <f>(6%/12)*Table7[[#This Row],[opening balance]]</f>
        <v>1089.4032586455512</v>
      </c>
      <c r="H126" s="16">
        <f>Table7[[#This Row],[monthly installment]]-Table7[[#This Row],[interest]]</f>
        <v>481.81430321388621</v>
      </c>
      <c r="I126" s="52">
        <f>Table7[[#This Row],[opening balance]]-Table7[[#This Row],[principal paid]]</f>
        <v>217398.83742589634</v>
      </c>
    </row>
    <row r="127" spans="4:9">
      <c r="D127">
        <f t="shared" si="9"/>
        <v>125</v>
      </c>
      <c r="E127" s="16">
        <f t="shared" si="12"/>
        <v>217398.83742589634</v>
      </c>
      <c r="F127" s="1">
        <f t="shared" si="14"/>
        <v>1571.2175618594374</v>
      </c>
      <c r="G127" s="16">
        <f>(6%/12)*Table7[[#This Row],[opening balance]]</f>
        <v>1086.9941871294818</v>
      </c>
      <c r="H127" s="16">
        <f>Table7[[#This Row],[monthly installment]]-Table7[[#This Row],[interest]]</f>
        <v>484.22337472995559</v>
      </c>
      <c r="I127" s="52">
        <f>Table7[[#This Row],[opening balance]]-Table7[[#This Row],[principal paid]]</f>
        <v>216914.6140511664</v>
      </c>
    </row>
    <row r="128" spans="4:9">
      <c r="D128">
        <f t="shared" si="9"/>
        <v>126</v>
      </c>
      <c r="E128" s="16">
        <f t="shared" si="12"/>
        <v>216914.6140511664</v>
      </c>
      <c r="F128" s="1">
        <f t="shared" si="14"/>
        <v>1571.2175618594374</v>
      </c>
      <c r="G128" s="16">
        <f>(6%/12)*Table7[[#This Row],[opening balance]]</f>
        <v>1084.5730702558319</v>
      </c>
      <c r="H128" s="16">
        <f>Table7[[#This Row],[monthly installment]]-Table7[[#This Row],[interest]]</f>
        <v>486.6444916036055</v>
      </c>
      <c r="I128" s="52">
        <f>Table7[[#This Row],[opening balance]]-Table7[[#This Row],[principal paid]]</f>
        <v>216427.9695595628</v>
      </c>
    </row>
    <row r="129" spans="4:9">
      <c r="D129">
        <f t="shared" si="9"/>
        <v>127</v>
      </c>
      <c r="E129" s="16">
        <f t="shared" si="12"/>
        <v>216427.9695595628</v>
      </c>
      <c r="F129" s="1">
        <f t="shared" si="14"/>
        <v>1571.2175618594374</v>
      </c>
      <c r="G129" s="16">
        <f>(6%/12)*Table7[[#This Row],[opening balance]]</f>
        <v>1082.1398477978141</v>
      </c>
      <c r="H129" s="16">
        <f>Table7[[#This Row],[monthly installment]]-Table7[[#This Row],[interest]]</f>
        <v>489.07771406162328</v>
      </c>
      <c r="I129" s="52">
        <f>Table7[[#This Row],[opening balance]]-Table7[[#This Row],[principal paid]]</f>
        <v>215938.89184550117</v>
      </c>
    </row>
    <row r="130" spans="4:9">
      <c r="D130">
        <f t="shared" si="9"/>
        <v>128</v>
      </c>
      <c r="E130" s="16">
        <f t="shared" si="12"/>
        <v>215938.89184550117</v>
      </c>
      <c r="F130" s="1">
        <f t="shared" si="14"/>
        <v>1571.2175618594374</v>
      </c>
      <c r="G130" s="16">
        <f>(6%/12)*Table7[[#This Row],[opening balance]]</f>
        <v>1079.6944592275058</v>
      </c>
      <c r="H130" s="16">
        <f>Table7[[#This Row],[monthly installment]]-Table7[[#This Row],[interest]]</f>
        <v>491.52310263193158</v>
      </c>
      <c r="I130" s="52">
        <f>Table7[[#This Row],[opening balance]]-Table7[[#This Row],[principal paid]]</f>
        <v>215447.36874286924</v>
      </c>
    </row>
    <row r="131" spans="4:9">
      <c r="D131">
        <f t="shared" si="9"/>
        <v>129</v>
      </c>
      <c r="E131" s="16">
        <f t="shared" si="12"/>
        <v>215447.36874286924</v>
      </c>
      <c r="F131" s="1">
        <f t="shared" si="14"/>
        <v>1571.2175618594374</v>
      </c>
      <c r="G131" s="16">
        <f>(6%/12)*Table7[[#This Row],[opening balance]]</f>
        <v>1077.2368437143462</v>
      </c>
      <c r="H131" s="16">
        <f>Table7[[#This Row],[monthly installment]]-Table7[[#This Row],[interest]]</f>
        <v>493.98071814509126</v>
      </c>
      <c r="I131" s="52">
        <f>Table7[[#This Row],[opening balance]]-Table7[[#This Row],[principal paid]]</f>
        <v>214953.38802472415</v>
      </c>
    </row>
    <row r="132" spans="4:9">
      <c r="D132">
        <f t="shared" si="9"/>
        <v>130</v>
      </c>
      <c r="E132" s="16">
        <f t="shared" si="12"/>
        <v>214953.38802472415</v>
      </c>
      <c r="F132" s="1">
        <f t="shared" si="14"/>
        <v>1571.2175618594374</v>
      </c>
      <c r="G132" s="16">
        <f>(6%/12)*Table7[[#This Row],[opening balance]]</f>
        <v>1074.7669401236208</v>
      </c>
      <c r="H132" s="16">
        <f>Table7[[#This Row],[monthly installment]]-Table7[[#This Row],[interest]]</f>
        <v>496.45062173581664</v>
      </c>
      <c r="I132" s="52">
        <f>Table7[[#This Row],[opening balance]]-Table7[[#This Row],[principal paid]]</f>
        <v>214456.93740298832</v>
      </c>
    </row>
    <row r="133" spans="4:9">
      <c r="D133">
        <f t="shared" ref="D133:D185" si="15">D132+1</f>
        <v>131</v>
      </c>
      <c r="E133" s="16">
        <f t="shared" si="12"/>
        <v>214456.93740298832</v>
      </c>
      <c r="F133" s="1">
        <f t="shared" si="14"/>
        <v>1571.2175618594374</v>
      </c>
      <c r="G133" s="16">
        <f>(6%/12)*Table7[[#This Row],[opening balance]]</f>
        <v>1072.2846870149417</v>
      </c>
      <c r="H133" s="16">
        <f>Table7[[#This Row],[monthly installment]]-Table7[[#This Row],[interest]]</f>
        <v>498.9328748444957</v>
      </c>
      <c r="I133" s="52">
        <f>Table7[[#This Row],[opening balance]]-Table7[[#This Row],[principal paid]]</f>
        <v>213958.00452814382</v>
      </c>
    </row>
    <row r="134" spans="4:9">
      <c r="D134">
        <f t="shared" si="15"/>
        <v>132</v>
      </c>
      <c r="E134" s="16">
        <f t="shared" si="12"/>
        <v>213958.00452814382</v>
      </c>
      <c r="F134" s="1">
        <f t="shared" si="14"/>
        <v>1571.2175618594374</v>
      </c>
      <c r="G134" s="16">
        <f>(6%/12)*Table7[[#This Row],[opening balance]]</f>
        <v>1069.7900226407191</v>
      </c>
      <c r="H134" s="16">
        <f>Table7[[#This Row],[monthly installment]]-Table7[[#This Row],[interest]]</f>
        <v>501.42753921871827</v>
      </c>
      <c r="I134" s="52">
        <f>Table7[[#This Row],[opening balance]]-Table7[[#This Row],[principal paid]]</f>
        <v>213456.57698892511</v>
      </c>
    </row>
    <row r="135" spans="4:9">
      <c r="D135">
        <f t="shared" si="15"/>
        <v>133</v>
      </c>
      <c r="E135" s="16">
        <f t="shared" ref="E135:E166" si="16">I134</f>
        <v>213456.57698892511</v>
      </c>
      <c r="F135" s="1">
        <f t="shared" si="14"/>
        <v>1571.2175618594374</v>
      </c>
      <c r="G135" s="16">
        <f>(6%/12)*Table7[[#This Row],[opening balance]]</f>
        <v>1067.2828849446255</v>
      </c>
      <c r="H135" s="16">
        <f>Table7[[#This Row],[monthly installment]]-Table7[[#This Row],[interest]]</f>
        <v>503.93467691481192</v>
      </c>
      <c r="I135" s="52">
        <f>Table7[[#This Row],[opening balance]]-Table7[[#This Row],[principal paid]]</f>
        <v>212952.64231201028</v>
      </c>
    </row>
    <row r="136" spans="4:9">
      <c r="D136">
        <f t="shared" si="15"/>
        <v>134</v>
      </c>
      <c r="E136" s="16">
        <f t="shared" si="16"/>
        <v>212952.64231201028</v>
      </c>
      <c r="F136" s="1">
        <f t="shared" si="14"/>
        <v>1571.2175618594374</v>
      </c>
      <c r="G136" s="16">
        <f>(6%/12)*Table7[[#This Row],[opening balance]]</f>
        <v>1064.7632115600513</v>
      </c>
      <c r="H136" s="16">
        <f>Table7[[#This Row],[monthly installment]]-Table7[[#This Row],[interest]]</f>
        <v>506.45435029938608</v>
      </c>
      <c r="I136" s="52">
        <f>Table7[[#This Row],[opening balance]]-Table7[[#This Row],[principal paid]]</f>
        <v>212446.18796171091</v>
      </c>
    </row>
    <row r="137" spans="4:9">
      <c r="D137">
        <f t="shared" si="15"/>
        <v>135</v>
      </c>
      <c r="E137" s="16">
        <f t="shared" si="16"/>
        <v>212446.18796171091</v>
      </c>
      <c r="F137" s="1">
        <f t="shared" si="14"/>
        <v>1571.2175618594374</v>
      </c>
      <c r="G137" s="16">
        <f>(6%/12)*Table7[[#This Row],[opening balance]]</f>
        <v>1062.2309398085545</v>
      </c>
      <c r="H137" s="16">
        <f>Table7[[#This Row],[monthly installment]]-Table7[[#This Row],[interest]]</f>
        <v>508.98662205088294</v>
      </c>
      <c r="I137" s="52">
        <f>Table7[[#This Row],[opening balance]]-Table7[[#This Row],[principal paid]]</f>
        <v>211937.20133966004</v>
      </c>
    </row>
    <row r="138" spans="4:9">
      <c r="D138">
        <f t="shared" si="15"/>
        <v>136</v>
      </c>
      <c r="E138" s="16">
        <f t="shared" si="16"/>
        <v>211937.20133966004</v>
      </c>
      <c r="F138" s="1">
        <f t="shared" si="14"/>
        <v>1571.2175618594374</v>
      </c>
      <c r="G138" s="16">
        <f>(6%/12)*Table7[[#This Row],[opening balance]]</f>
        <v>1059.6860066983002</v>
      </c>
      <c r="H138" s="16">
        <f>Table7[[#This Row],[monthly installment]]-Table7[[#This Row],[interest]]</f>
        <v>511.53155516113725</v>
      </c>
      <c r="I138" s="52">
        <f>Table7[[#This Row],[opening balance]]-Table7[[#This Row],[principal paid]]</f>
        <v>211425.6697844989</v>
      </c>
    </row>
    <row r="139" spans="4:9">
      <c r="D139">
        <f t="shared" si="15"/>
        <v>137</v>
      </c>
      <c r="E139" s="16">
        <f t="shared" si="16"/>
        <v>211425.6697844989</v>
      </c>
      <c r="F139" s="1">
        <f t="shared" si="14"/>
        <v>1571.2175618594374</v>
      </c>
      <c r="G139" s="16">
        <f>(6%/12)*Table7[[#This Row],[opening balance]]</f>
        <v>1057.1283489224945</v>
      </c>
      <c r="H139" s="16">
        <f>Table7[[#This Row],[monthly installment]]-Table7[[#This Row],[interest]]</f>
        <v>514.08921293694289</v>
      </c>
      <c r="I139" s="52">
        <f>Table7[[#This Row],[opening balance]]-Table7[[#This Row],[principal paid]]</f>
        <v>210911.58057156196</v>
      </c>
    </row>
    <row r="140" spans="4:9">
      <c r="D140">
        <f t="shared" si="15"/>
        <v>138</v>
      </c>
      <c r="E140" s="16">
        <f t="shared" si="16"/>
        <v>210911.58057156196</v>
      </c>
      <c r="F140" s="1">
        <f t="shared" si="14"/>
        <v>1571.2175618594374</v>
      </c>
      <c r="G140" s="16">
        <f>(6%/12)*Table7[[#This Row],[opening balance]]</f>
        <v>1054.5579028578099</v>
      </c>
      <c r="H140" s="16">
        <f>Table7[[#This Row],[monthly installment]]-Table7[[#This Row],[interest]]</f>
        <v>516.65965900162746</v>
      </c>
      <c r="I140" s="52">
        <f>Table7[[#This Row],[opening balance]]-Table7[[#This Row],[principal paid]]</f>
        <v>210394.92091256034</v>
      </c>
    </row>
    <row r="141" spans="4:9">
      <c r="D141">
        <f t="shared" si="15"/>
        <v>139</v>
      </c>
      <c r="E141" s="16">
        <f t="shared" si="16"/>
        <v>210394.92091256034</v>
      </c>
      <c r="F141" s="1">
        <f t="shared" si="14"/>
        <v>1571.2175618594374</v>
      </c>
      <c r="G141" s="16">
        <f>(6%/12)*Table7[[#This Row],[opening balance]]</f>
        <v>1051.9746045628017</v>
      </c>
      <c r="H141" s="16">
        <f>Table7[[#This Row],[monthly installment]]-Table7[[#This Row],[interest]]</f>
        <v>519.24295729663572</v>
      </c>
      <c r="I141" s="52">
        <f>Table7[[#This Row],[opening balance]]-Table7[[#This Row],[principal paid]]</f>
        <v>209875.6779552637</v>
      </c>
    </row>
    <row r="142" spans="4:9">
      <c r="D142">
        <f t="shared" si="15"/>
        <v>140</v>
      </c>
      <c r="E142" s="16">
        <f t="shared" si="16"/>
        <v>209875.6779552637</v>
      </c>
      <c r="F142" s="1">
        <f t="shared" si="14"/>
        <v>1571.2175618594374</v>
      </c>
      <c r="G142" s="16">
        <f>(6%/12)*Table7[[#This Row],[opening balance]]</f>
        <v>1049.3783897763185</v>
      </c>
      <c r="H142" s="16">
        <f>Table7[[#This Row],[monthly installment]]-Table7[[#This Row],[interest]]</f>
        <v>521.83917208311891</v>
      </c>
      <c r="I142" s="52">
        <f>Table7[[#This Row],[opening balance]]-Table7[[#This Row],[principal paid]]</f>
        <v>209353.83878318057</v>
      </c>
    </row>
    <row r="143" spans="4:9">
      <c r="D143">
        <f t="shared" si="15"/>
        <v>141</v>
      </c>
      <c r="E143" s="16">
        <f t="shared" si="16"/>
        <v>209353.83878318057</v>
      </c>
      <c r="F143" s="1">
        <f t="shared" si="14"/>
        <v>1571.2175618594374</v>
      </c>
      <c r="G143" s="16">
        <f>(6%/12)*Table7[[#This Row],[opening balance]]</f>
        <v>1046.7691939159029</v>
      </c>
      <c r="H143" s="16">
        <f>Table7[[#This Row],[monthly installment]]-Table7[[#This Row],[interest]]</f>
        <v>524.44836794353455</v>
      </c>
      <c r="I143" s="52">
        <f>Table7[[#This Row],[opening balance]]-Table7[[#This Row],[principal paid]]</f>
        <v>208829.39041523705</v>
      </c>
    </row>
    <row r="144" spans="4:9">
      <c r="D144">
        <f t="shared" si="15"/>
        <v>142</v>
      </c>
      <c r="E144" s="16">
        <f t="shared" si="16"/>
        <v>208829.39041523705</v>
      </c>
      <c r="F144" s="1">
        <f t="shared" si="14"/>
        <v>1571.2175618594374</v>
      </c>
      <c r="G144" s="16">
        <f>(6%/12)*Table7[[#This Row],[opening balance]]</f>
        <v>1044.1469520761852</v>
      </c>
      <c r="H144" s="16">
        <f>Table7[[#This Row],[monthly installment]]-Table7[[#This Row],[interest]]</f>
        <v>527.07060978325217</v>
      </c>
      <c r="I144" s="52">
        <f>Table7[[#This Row],[opening balance]]-Table7[[#This Row],[principal paid]]</f>
        <v>208302.31980545379</v>
      </c>
    </row>
    <row r="145" spans="4:9">
      <c r="D145">
        <f t="shared" si="15"/>
        <v>143</v>
      </c>
      <c r="E145" s="16">
        <f t="shared" si="16"/>
        <v>208302.31980545379</v>
      </c>
      <c r="F145" s="1">
        <f t="shared" si="14"/>
        <v>1571.2175618594374</v>
      </c>
      <c r="G145" s="16">
        <f>(6%/12)*Table7[[#This Row],[opening balance]]</f>
        <v>1041.5115990272691</v>
      </c>
      <c r="H145" s="16">
        <f>Table7[[#This Row],[monthly installment]]-Table7[[#This Row],[interest]]</f>
        <v>529.70596283216832</v>
      </c>
      <c r="I145" s="52">
        <f>Table7[[#This Row],[opening balance]]-Table7[[#This Row],[principal paid]]</f>
        <v>207772.61384262162</v>
      </c>
    </row>
    <row r="146" spans="4:9">
      <c r="D146">
        <f t="shared" si="15"/>
        <v>144</v>
      </c>
      <c r="E146" s="16">
        <f t="shared" si="16"/>
        <v>207772.61384262162</v>
      </c>
      <c r="F146" s="1">
        <f t="shared" si="14"/>
        <v>1571.2175618594374</v>
      </c>
      <c r="G146" s="16">
        <f>(6%/12)*Table7[[#This Row],[opening balance]]</f>
        <v>1038.863069213108</v>
      </c>
      <c r="H146" s="16">
        <f>Table7[[#This Row],[monthly installment]]-Table7[[#This Row],[interest]]</f>
        <v>532.35449264632939</v>
      </c>
      <c r="I146" s="52">
        <f>Table7[[#This Row],[opening balance]]-Table7[[#This Row],[principal paid]]</f>
        <v>207240.2593499753</v>
      </c>
    </row>
    <row r="147" spans="4:9">
      <c r="D147">
        <f t="shared" si="15"/>
        <v>145</v>
      </c>
      <c r="E147" s="16">
        <f t="shared" si="16"/>
        <v>207240.2593499753</v>
      </c>
      <c r="F147" s="1">
        <f t="shared" si="14"/>
        <v>1571.2175618594374</v>
      </c>
      <c r="G147" s="16">
        <f>(6%/12)*Table7[[#This Row],[opening balance]]</f>
        <v>1036.2012967498765</v>
      </c>
      <c r="H147" s="16">
        <f>Table7[[#This Row],[monthly installment]]-Table7[[#This Row],[interest]]</f>
        <v>535.01626510956089</v>
      </c>
      <c r="I147" s="52">
        <f>Table7[[#This Row],[opening balance]]-Table7[[#This Row],[principal paid]]</f>
        <v>206705.24308486574</v>
      </c>
    </row>
    <row r="148" spans="4:9">
      <c r="D148">
        <f t="shared" si="15"/>
        <v>146</v>
      </c>
      <c r="E148" s="16">
        <f t="shared" si="16"/>
        <v>206705.24308486574</v>
      </c>
      <c r="F148" s="1">
        <f t="shared" si="14"/>
        <v>1571.2175618594374</v>
      </c>
      <c r="G148" s="16">
        <f>(6%/12)*Table7[[#This Row],[opening balance]]</f>
        <v>1033.5262154243287</v>
      </c>
      <c r="H148" s="16">
        <f>Table7[[#This Row],[monthly installment]]-Table7[[#This Row],[interest]]</f>
        <v>537.6913464351087</v>
      </c>
      <c r="I148" s="52">
        <f>Table7[[#This Row],[opening balance]]-Table7[[#This Row],[principal paid]]</f>
        <v>206167.55173843063</v>
      </c>
    </row>
    <row r="149" spans="4:9">
      <c r="D149">
        <f t="shared" si="15"/>
        <v>147</v>
      </c>
      <c r="E149" s="16">
        <f t="shared" si="16"/>
        <v>206167.55173843063</v>
      </c>
      <c r="F149" s="1">
        <f t="shared" si="14"/>
        <v>1571.2175618594374</v>
      </c>
      <c r="G149" s="16">
        <f>(6%/12)*Table7[[#This Row],[opening balance]]</f>
        <v>1030.8377586921531</v>
      </c>
      <c r="H149" s="16">
        <f>Table7[[#This Row],[monthly installment]]-Table7[[#This Row],[interest]]</f>
        <v>540.37980316728431</v>
      </c>
      <c r="I149" s="52">
        <f>Table7[[#This Row],[opening balance]]-Table7[[#This Row],[principal paid]]</f>
        <v>205627.17193526335</v>
      </c>
    </row>
    <row r="150" spans="4:9">
      <c r="D150">
        <f t="shared" si="15"/>
        <v>148</v>
      </c>
      <c r="E150" s="16">
        <f t="shared" si="16"/>
        <v>205627.17193526335</v>
      </c>
      <c r="F150" s="1">
        <f t="shared" si="14"/>
        <v>1571.2175618594374</v>
      </c>
      <c r="G150" s="16">
        <f>(6%/12)*Table7[[#This Row],[opening balance]]</f>
        <v>1028.1358596763168</v>
      </c>
      <c r="H150" s="16">
        <f>Table7[[#This Row],[monthly installment]]-Table7[[#This Row],[interest]]</f>
        <v>543.08170218312057</v>
      </c>
      <c r="I150" s="52">
        <f>Table7[[#This Row],[opening balance]]-Table7[[#This Row],[principal paid]]</f>
        <v>205084.09023308023</v>
      </c>
    </row>
    <row r="151" spans="4:9">
      <c r="D151">
        <f t="shared" si="15"/>
        <v>149</v>
      </c>
      <c r="E151" s="16">
        <f t="shared" si="16"/>
        <v>205084.09023308023</v>
      </c>
      <c r="F151" s="1">
        <f t="shared" si="14"/>
        <v>1571.2175618594374</v>
      </c>
      <c r="G151" s="16">
        <f>(6%/12)*Table7[[#This Row],[opening balance]]</f>
        <v>1025.4204511654011</v>
      </c>
      <c r="H151" s="16">
        <f>Table7[[#This Row],[monthly installment]]-Table7[[#This Row],[interest]]</f>
        <v>545.79711069403629</v>
      </c>
      <c r="I151" s="52">
        <f>Table7[[#This Row],[opening balance]]-Table7[[#This Row],[principal paid]]</f>
        <v>204538.29312238621</v>
      </c>
    </row>
    <row r="152" spans="4:9">
      <c r="D152">
        <f t="shared" si="15"/>
        <v>150</v>
      </c>
      <c r="E152" s="16">
        <f t="shared" si="16"/>
        <v>204538.29312238621</v>
      </c>
      <c r="F152" s="1">
        <f t="shared" si="14"/>
        <v>1571.2175618594374</v>
      </c>
      <c r="G152" s="16">
        <f>(6%/12)*Table7[[#This Row],[opening balance]]</f>
        <v>1022.6914656119311</v>
      </c>
      <c r="H152" s="16">
        <f>Table7[[#This Row],[monthly installment]]-Table7[[#This Row],[interest]]</f>
        <v>548.5260962475063</v>
      </c>
      <c r="I152" s="52">
        <f>Table7[[#This Row],[opening balance]]-Table7[[#This Row],[principal paid]]</f>
        <v>203989.7670261387</v>
      </c>
    </row>
    <row r="153" spans="4:9">
      <c r="D153">
        <f t="shared" si="15"/>
        <v>151</v>
      </c>
      <c r="E153" s="16">
        <f t="shared" si="16"/>
        <v>203989.7670261387</v>
      </c>
      <c r="F153" s="1">
        <f t="shared" si="14"/>
        <v>1571.2175618594374</v>
      </c>
      <c r="G153" s="16">
        <f>(6%/12)*Table7[[#This Row],[opening balance]]</f>
        <v>1019.9488351306935</v>
      </c>
      <c r="H153" s="16">
        <f>Table7[[#This Row],[monthly installment]]-Table7[[#This Row],[interest]]</f>
        <v>551.2687267287439</v>
      </c>
      <c r="I153" s="52">
        <f>Table7[[#This Row],[opening balance]]-Table7[[#This Row],[principal paid]]</f>
        <v>203438.49829940996</v>
      </c>
    </row>
    <row r="154" spans="4:9">
      <c r="D154">
        <f t="shared" si="15"/>
        <v>152</v>
      </c>
      <c r="E154" s="16">
        <f t="shared" si="16"/>
        <v>203438.49829940996</v>
      </c>
      <c r="F154" s="1">
        <f t="shared" si="14"/>
        <v>1571.2175618594374</v>
      </c>
      <c r="G154" s="16">
        <f>(6%/12)*Table7[[#This Row],[opening balance]]</f>
        <v>1017.1924914970498</v>
      </c>
      <c r="H154" s="16">
        <f>Table7[[#This Row],[monthly installment]]-Table7[[#This Row],[interest]]</f>
        <v>554.02507036238762</v>
      </c>
      <c r="I154" s="52">
        <f>Table7[[#This Row],[opening balance]]-Table7[[#This Row],[principal paid]]</f>
        <v>202884.47322904758</v>
      </c>
    </row>
    <row r="155" spans="4:9">
      <c r="D155">
        <f t="shared" si="15"/>
        <v>153</v>
      </c>
      <c r="E155" s="16">
        <f t="shared" si="16"/>
        <v>202884.47322904758</v>
      </c>
      <c r="F155" s="1">
        <f t="shared" si="14"/>
        <v>1571.2175618594374</v>
      </c>
      <c r="G155" s="16">
        <f>(6%/12)*Table7[[#This Row],[opening balance]]</f>
        <v>1014.4223661452379</v>
      </c>
      <c r="H155" s="16">
        <f>Table7[[#This Row],[monthly installment]]-Table7[[#This Row],[interest]]</f>
        <v>556.79519571419951</v>
      </c>
      <c r="I155" s="52">
        <f>Table7[[#This Row],[opening balance]]-Table7[[#This Row],[principal paid]]</f>
        <v>202327.67803333339</v>
      </c>
    </row>
    <row r="156" spans="4:9">
      <c r="D156">
        <f t="shared" si="15"/>
        <v>154</v>
      </c>
      <c r="E156" s="16">
        <f t="shared" si="16"/>
        <v>202327.67803333339</v>
      </c>
      <c r="F156" s="1">
        <f t="shared" si="14"/>
        <v>1571.2175618594374</v>
      </c>
      <c r="G156" s="16">
        <f>(6%/12)*Table7[[#This Row],[opening balance]]</f>
        <v>1011.6383901666669</v>
      </c>
      <c r="H156" s="16">
        <f>Table7[[#This Row],[monthly installment]]-Table7[[#This Row],[interest]]</f>
        <v>559.5791716927705</v>
      </c>
      <c r="I156" s="52">
        <f>Table7[[#This Row],[opening balance]]-Table7[[#This Row],[principal paid]]</f>
        <v>201768.09886164061</v>
      </c>
    </row>
    <row r="157" spans="4:9">
      <c r="D157">
        <f t="shared" si="15"/>
        <v>155</v>
      </c>
      <c r="E157" s="16">
        <f t="shared" si="16"/>
        <v>201768.09886164061</v>
      </c>
      <c r="F157" s="1">
        <f t="shared" si="14"/>
        <v>1571.2175618594374</v>
      </c>
      <c r="G157" s="16">
        <f>(6%/12)*Table7[[#This Row],[opening balance]]</f>
        <v>1008.8404943082031</v>
      </c>
      <c r="H157" s="16">
        <f>Table7[[#This Row],[monthly installment]]-Table7[[#This Row],[interest]]</f>
        <v>562.37706755123429</v>
      </c>
      <c r="I157" s="52">
        <f>Table7[[#This Row],[opening balance]]-Table7[[#This Row],[principal paid]]</f>
        <v>201205.72179408939</v>
      </c>
    </row>
    <row r="158" spans="4:9">
      <c r="D158">
        <f t="shared" si="15"/>
        <v>156</v>
      </c>
      <c r="E158" s="16">
        <f t="shared" si="16"/>
        <v>201205.72179408939</v>
      </c>
      <c r="F158" s="1">
        <f t="shared" si="14"/>
        <v>1571.2175618594374</v>
      </c>
      <c r="G158" s="16">
        <f>(6%/12)*Table7[[#This Row],[opening balance]]</f>
        <v>1006.028608970447</v>
      </c>
      <c r="H158" s="16">
        <f>Table7[[#This Row],[monthly installment]]-Table7[[#This Row],[interest]]</f>
        <v>565.18895288899046</v>
      </c>
      <c r="I158" s="52">
        <f>Table7[[#This Row],[opening balance]]-Table7[[#This Row],[principal paid]]</f>
        <v>200640.53284120039</v>
      </c>
    </row>
    <row r="159" spans="4:9">
      <c r="D159">
        <f t="shared" si="15"/>
        <v>157</v>
      </c>
      <c r="E159" s="16">
        <f t="shared" si="16"/>
        <v>200640.53284120039</v>
      </c>
      <c r="F159" s="1">
        <f t="shared" si="14"/>
        <v>1571.2175618594374</v>
      </c>
      <c r="G159" s="16">
        <f>(6%/12)*Table7[[#This Row],[opening balance]]</f>
        <v>1003.2026642060019</v>
      </c>
      <c r="H159" s="16">
        <f>Table7[[#This Row],[monthly installment]]-Table7[[#This Row],[interest]]</f>
        <v>568.01489765343547</v>
      </c>
      <c r="I159" s="52">
        <f>Table7[[#This Row],[opening balance]]-Table7[[#This Row],[principal paid]]</f>
        <v>200072.51794354696</v>
      </c>
    </row>
    <row r="160" spans="4:9">
      <c r="D160">
        <f t="shared" si="15"/>
        <v>158</v>
      </c>
      <c r="E160" s="16">
        <f t="shared" si="16"/>
        <v>200072.51794354696</v>
      </c>
      <c r="F160" s="1">
        <f t="shared" si="14"/>
        <v>1571.2175618594374</v>
      </c>
      <c r="G160" s="16">
        <f>(6%/12)*Table7[[#This Row],[opening balance]]</f>
        <v>1000.3625897177349</v>
      </c>
      <c r="H160" s="16">
        <f>Table7[[#This Row],[monthly installment]]-Table7[[#This Row],[interest]]</f>
        <v>570.85497214170255</v>
      </c>
      <c r="I160" s="52">
        <f>Table7[[#This Row],[opening balance]]-Table7[[#This Row],[principal paid]]</f>
        <v>199501.66297140525</v>
      </c>
    </row>
    <row r="161" spans="4:9">
      <c r="D161">
        <f t="shared" si="15"/>
        <v>159</v>
      </c>
      <c r="E161" s="16">
        <f t="shared" si="16"/>
        <v>199501.66297140525</v>
      </c>
      <c r="F161" s="1">
        <f t="shared" si="14"/>
        <v>1571.2175618594374</v>
      </c>
      <c r="G161" s="16">
        <f>(6%/12)*Table7[[#This Row],[opening balance]]</f>
        <v>997.50831485702633</v>
      </c>
      <c r="H161" s="16">
        <f>Table7[[#This Row],[monthly installment]]-Table7[[#This Row],[interest]]</f>
        <v>573.70924700241108</v>
      </c>
      <c r="I161" s="52">
        <f>Table7[[#This Row],[opening balance]]-Table7[[#This Row],[principal paid]]</f>
        <v>198927.95372440285</v>
      </c>
    </row>
    <row r="162" spans="4:9">
      <c r="D162">
        <f t="shared" si="15"/>
        <v>160</v>
      </c>
      <c r="E162" s="16">
        <f t="shared" si="16"/>
        <v>198927.95372440285</v>
      </c>
      <c r="F162" s="1">
        <f t="shared" si="14"/>
        <v>1571.2175618594374</v>
      </c>
      <c r="G162" s="16">
        <f>(6%/12)*Table7[[#This Row],[opening balance]]</f>
        <v>994.63976862201423</v>
      </c>
      <c r="H162" s="16">
        <f>Table7[[#This Row],[monthly installment]]-Table7[[#This Row],[interest]]</f>
        <v>576.57779323742318</v>
      </c>
      <c r="I162" s="52">
        <f>Table7[[#This Row],[opening balance]]-Table7[[#This Row],[principal paid]]</f>
        <v>198351.37593116541</v>
      </c>
    </row>
    <row r="163" spans="4:9">
      <c r="D163">
        <f t="shared" si="15"/>
        <v>161</v>
      </c>
      <c r="E163" s="16">
        <f t="shared" si="16"/>
        <v>198351.37593116541</v>
      </c>
      <c r="F163" s="1">
        <f t="shared" si="14"/>
        <v>1571.2175618594374</v>
      </c>
      <c r="G163" s="16">
        <f>(6%/12)*Table7[[#This Row],[opening balance]]</f>
        <v>991.75687965582711</v>
      </c>
      <c r="H163" s="16">
        <f>Table7[[#This Row],[monthly installment]]-Table7[[#This Row],[interest]]</f>
        <v>579.4606822036103</v>
      </c>
      <c r="I163" s="52">
        <f>Table7[[#This Row],[opening balance]]-Table7[[#This Row],[principal paid]]</f>
        <v>197771.9152489618</v>
      </c>
    </row>
    <row r="164" spans="4:9">
      <c r="D164">
        <f t="shared" si="15"/>
        <v>162</v>
      </c>
      <c r="E164" s="16">
        <f t="shared" si="16"/>
        <v>197771.9152489618</v>
      </c>
      <c r="F164" s="1">
        <f t="shared" si="14"/>
        <v>1571.2175618594374</v>
      </c>
      <c r="G164" s="16">
        <f>(6%/12)*Table7[[#This Row],[opening balance]]</f>
        <v>988.85957624480898</v>
      </c>
      <c r="H164" s="16">
        <f>Table7[[#This Row],[monthly installment]]-Table7[[#This Row],[interest]]</f>
        <v>582.35798561462843</v>
      </c>
      <c r="I164" s="52">
        <f>Table7[[#This Row],[opening balance]]-Table7[[#This Row],[principal paid]]</f>
        <v>197189.55726334717</v>
      </c>
    </row>
    <row r="165" spans="4:9">
      <c r="D165">
        <f t="shared" si="15"/>
        <v>163</v>
      </c>
      <c r="E165" s="16">
        <f t="shared" si="16"/>
        <v>197189.55726334717</v>
      </c>
      <c r="F165" s="1">
        <f t="shared" si="14"/>
        <v>1571.2175618594374</v>
      </c>
      <c r="G165" s="16">
        <f>(6%/12)*Table7[[#This Row],[opening balance]]</f>
        <v>985.94778631673591</v>
      </c>
      <c r="H165" s="16">
        <f>Table7[[#This Row],[monthly installment]]-Table7[[#This Row],[interest]]</f>
        <v>585.2697755427015</v>
      </c>
      <c r="I165" s="52">
        <f>Table7[[#This Row],[opening balance]]-Table7[[#This Row],[principal paid]]</f>
        <v>196604.28748780448</v>
      </c>
    </row>
    <row r="166" spans="4:9">
      <c r="D166">
        <f t="shared" si="15"/>
        <v>164</v>
      </c>
      <c r="E166" s="16">
        <f t="shared" si="16"/>
        <v>196604.28748780448</v>
      </c>
      <c r="F166" s="1">
        <f t="shared" si="14"/>
        <v>1571.2175618594374</v>
      </c>
      <c r="G166" s="16">
        <f>(6%/12)*Table7[[#This Row],[opening balance]]</f>
        <v>983.02143743902241</v>
      </c>
      <c r="H166" s="16">
        <f>Table7[[#This Row],[monthly installment]]-Table7[[#This Row],[interest]]</f>
        <v>588.196124420415</v>
      </c>
      <c r="I166" s="52">
        <f>Table7[[#This Row],[opening balance]]-Table7[[#This Row],[principal paid]]</f>
        <v>196016.09136338407</v>
      </c>
    </row>
    <row r="167" spans="4:9">
      <c r="D167">
        <f t="shared" si="15"/>
        <v>165</v>
      </c>
      <c r="E167" s="16">
        <f t="shared" ref="E167:E185" si="17">I166</f>
        <v>196016.09136338407</v>
      </c>
      <c r="F167" s="1">
        <f t="shared" si="14"/>
        <v>1571.2175618594374</v>
      </c>
      <c r="G167" s="16">
        <f>(6%/12)*Table7[[#This Row],[opening balance]]</f>
        <v>980.08045681692033</v>
      </c>
      <c r="H167" s="16">
        <f>Table7[[#This Row],[monthly installment]]-Table7[[#This Row],[interest]]</f>
        <v>591.13710504251708</v>
      </c>
      <c r="I167" s="52">
        <f>Table7[[#This Row],[opening balance]]-Table7[[#This Row],[principal paid]]</f>
        <v>195424.95425834155</v>
      </c>
    </row>
    <row r="168" spans="4:9">
      <c r="D168">
        <f t="shared" si="15"/>
        <v>166</v>
      </c>
      <c r="E168" s="16">
        <f t="shared" si="17"/>
        <v>195424.95425834155</v>
      </c>
      <c r="F168" s="1">
        <f t="shared" si="14"/>
        <v>1571.2175618594374</v>
      </c>
      <c r="G168" s="16">
        <f>(6%/12)*Table7[[#This Row],[opening balance]]</f>
        <v>977.1247712917077</v>
      </c>
      <c r="H168" s="16">
        <f>Table7[[#This Row],[monthly installment]]-Table7[[#This Row],[interest]]</f>
        <v>594.09279056772971</v>
      </c>
      <c r="I168" s="52">
        <f>Table7[[#This Row],[opening balance]]-Table7[[#This Row],[principal paid]]</f>
        <v>194830.86146777382</v>
      </c>
    </row>
    <row r="169" spans="4:9">
      <c r="D169">
        <f t="shared" si="15"/>
        <v>167</v>
      </c>
      <c r="E169" s="16">
        <f t="shared" si="17"/>
        <v>194830.86146777382</v>
      </c>
      <c r="F169" s="1">
        <f t="shared" si="14"/>
        <v>1571.2175618594374</v>
      </c>
      <c r="G169" s="16">
        <f>(6%/12)*Table7[[#This Row],[opening balance]]</f>
        <v>974.1543073388691</v>
      </c>
      <c r="H169" s="16">
        <f>Table7[[#This Row],[monthly installment]]-Table7[[#This Row],[interest]]</f>
        <v>597.06325452056831</v>
      </c>
      <c r="I169" s="52">
        <f>Table7[[#This Row],[opening balance]]-Table7[[#This Row],[principal paid]]</f>
        <v>194233.79821325326</v>
      </c>
    </row>
    <row r="170" spans="4:9">
      <c r="D170">
        <f t="shared" si="15"/>
        <v>168</v>
      </c>
      <c r="E170" s="16">
        <f t="shared" si="17"/>
        <v>194233.79821325326</v>
      </c>
      <c r="F170" s="1">
        <f t="shared" si="14"/>
        <v>1571.2175618594374</v>
      </c>
      <c r="G170" s="16">
        <f>(6%/12)*Table7[[#This Row],[opening balance]]</f>
        <v>971.16899106626636</v>
      </c>
      <c r="H170" s="16">
        <f>Table7[[#This Row],[monthly installment]]-Table7[[#This Row],[interest]]</f>
        <v>600.04857079317105</v>
      </c>
      <c r="I170" s="52">
        <f>Table7[[#This Row],[opening balance]]-Table7[[#This Row],[principal paid]]</f>
        <v>193633.74964246008</v>
      </c>
    </row>
    <row r="171" spans="4:9">
      <c r="D171">
        <f t="shared" si="15"/>
        <v>169</v>
      </c>
      <c r="E171" s="16">
        <f t="shared" si="17"/>
        <v>193633.74964246008</v>
      </c>
      <c r="F171" s="1">
        <f t="shared" si="14"/>
        <v>1571.2175618594374</v>
      </c>
      <c r="G171" s="16">
        <f>(6%/12)*Table7[[#This Row],[opening balance]]</f>
        <v>968.16874821230044</v>
      </c>
      <c r="H171" s="16">
        <f>Table7[[#This Row],[monthly installment]]-Table7[[#This Row],[interest]]</f>
        <v>603.04881364713697</v>
      </c>
      <c r="I171" s="52">
        <f>Table7[[#This Row],[opening balance]]-Table7[[#This Row],[principal paid]]</f>
        <v>193030.70082881296</v>
      </c>
    </row>
    <row r="172" spans="4:9">
      <c r="D172">
        <f t="shared" si="15"/>
        <v>170</v>
      </c>
      <c r="E172" s="16">
        <f t="shared" si="17"/>
        <v>193030.70082881296</v>
      </c>
      <c r="F172" s="1">
        <f t="shared" si="14"/>
        <v>1571.2175618594374</v>
      </c>
      <c r="G172" s="16">
        <f>(6%/12)*Table7[[#This Row],[opening balance]]</f>
        <v>965.15350414406475</v>
      </c>
      <c r="H172" s="16">
        <f>Table7[[#This Row],[monthly installment]]-Table7[[#This Row],[interest]]</f>
        <v>606.06405771537266</v>
      </c>
      <c r="I172" s="52">
        <f>Table7[[#This Row],[opening balance]]-Table7[[#This Row],[principal paid]]</f>
        <v>192424.63677109758</v>
      </c>
    </row>
    <row r="173" spans="4:9">
      <c r="D173">
        <f t="shared" si="15"/>
        <v>171</v>
      </c>
      <c r="E173" s="16">
        <f t="shared" si="17"/>
        <v>192424.63677109758</v>
      </c>
      <c r="F173" s="1">
        <f t="shared" si="14"/>
        <v>1571.2175618594374</v>
      </c>
      <c r="G173" s="16">
        <f>(6%/12)*Table7[[#This Row],[opening balance]]</f>
        <v>962.12318385548792</v>
      </c>
      <c r="H173" s="16">
        <f>Table7[[#This Row],[monthly installment]]-Table7[[#This Row],[interest]]</f>
        <v>609.09437800394949</v>
      </c>
      <c r="I173" s="52">
        <f>Table7[[#This Row],[opening balance]]-Table7[[#This Row],[principal paid]]</f>
        <v>191815.54239309364</v>
      </c>
    </row>
    <row r="174" spans="4:9">
      <c r="D174">
        <f t="shared" si="15"/>
        <v>172</v>
      </c>
      <c r="E174" s="16">
        <f t="shared" si="17"/>
        <v>191815.54239309364</v>
      </c>
      <c r="F174" s="1">
        <f t="shared" si="14"/>
        <v>1571.2175618594374</v>
      </c>
      <c r="G174" s="16">
        <f>(6%/12)*Table7[[#This Row],[opening balance]]</f>
        <v>959.07771196546821</v>
      </c>
      <c r="H174" s="16">
        <f>Table7[[#This Row],[monthly installment]]-Table7[[#This Row],[interest]]</f>
        <v>612.1398498939692</v>
      </c>
      <c r="I174" s="52">
        <f>Table7[[#This Row],[opening balance]]-Table7[[#This Row],[principal paid]]</f>
        <v>191203.40254319966</v>
      </c>
    </row>
    <row r="175" spans="4:9">
      <c r="D175">
        <f t="shared" si="15"/>
        <v>173</v>
      </c>
      <c r="E175" s="16">
        <f t="shared" si="17"/>
        <v>191203.40254319966</v>
      </c>
      <c r="F175" s="1">
        <f t="shared" si="14"/>
        <v>1571.2175618594374</v>
      </c>
      <c r="G175" s="16">
        <f>(6%/12)*Table7[[#This Row],[opening balance]]</f>
        <v>956.01701271599825</v>
      </c>
      <c r="H175" s="16">
        <f>Table7[[#This Row],[monthly installment]]-Table7[[#This Row],[interest]]</f>
        <v>615.20054914343916</v>
      </c>
      <c r="I175" s="52">
        <f>Table7[[#This Row],[opening balance]]-Table7[[#This Row],[principal paid]]</f>
        <v>190588.20199405623</v>
      </c>
    </row>
    <row r="176" spans="4:9">
      <c r="D176">
        <f t="shared" si="15"/>
        <v>174</v>
      </c>
      <c r="E176" s="16">
        <f t="shared" si="17"/>
        <v>190588.20199405623</v>
      </c>
      <c r="F176" s="1">
        <f t="shared" si="14"/>
        <v>1571.2175618594374</v>
      </c>
      <c r="G176" s="16">
        <f>(6%/12)*Table7[[#This Row],[opening balance]]</f>
        <v>952.94100997028113</v>
      </c>
      <c r="H176" s="16">
        <f>Table7[[#This Row],[monthly installment]]-Table7[[#This Row],[interest]]</f>
        <v>618.27655188915628</v>
      </c>
      <c r="I176" s="52">
        <f>Table7[[#This Row],[opening balance]]-Table7[[#This Row],[principal paid]]</f>
        <v>189969.92544216706</v>
      </c>
    </row>
    <row r="177" spans="4:9">
      <c r="D177">
        <f t="shared" si="15"/>
        <v>175</v>
      </c>
      <c r="E177" s="16">
        <f t="shared" si="17"/>
        <v>189969.92544216706</v>
      </c>
      <c r="F177" s="1">
        <f t="shared" si="14"/>
        <v>1571.2175618594374</v>
      </c>
      <c r="G177" s="16">
        <f>(6%/12)*Table7[[#This Row],[opening balance]]</f>
        <v>949.84962721083537</v>
      </c>
      <c r="H177" s="16">
        <f>Table7[[#This Row],[monthly installment]]-Table7[[#This Row],[interest]]</f>
        <v>621.36793464860204</v>
      </c>
      <c r="I177" s="52">
        <f>Table7[[#This Row],[opening balance]]-Table7[[#This Row],[principal paid]]</f>
        <v>189348.55750751848</v>
      </c>
    </row>
    <row r="178" spans="4:9">
      <c r="D178">
        <f t="shared" si="15"/>
        <v>176</v>
      </c>
      <c r="E178" s="16">
        <f t="shared" si="17"/>
        <v>189348.55750751848</v>
      </c>
      <c r="F178" s="1">
        <f t="shared" si="14"/>
        <v>1571.2175618594374</v>
      </c>
      <c r="G178" s="16">
        <f>(6%/12)*Table7[[#This Row],[opening balance]]</f>
        <v>946.74278753759245</v>
      </c>
      <c r="H178" s="16">
        <f>Table7[[#This Row],[monthly installment]]-Table7[[#This Row],[interest]]</f>
        <v>624.47477432184496</v>
      </c>
      <c r="I178" s="52">
        <f>Table7[[#This Row],[opening balance]]-Table7[[#This Row],[principal paid]]</f>
        <v>188724.08273319664</v>
      </c>
    </row>
    <row r="179" spans="4:9">
      <c r="D179">
        <f t="shared" si="15"/>
        <v>177</v>
      </c>
      <c r="E179" s="16">
        <f t="shared" si="17"/>
        <v>188724.08273319664</v>
      </c>
      <c r="F179" s="1">
        <f t="shared" si="14"/>
        <v>1571.2175618594374</v>
      </c>
      <c r="G179" s="16">
        <f>(6%/12)*Table7[[#This Row],[opening balance]]</f>
        <v>943.62041366598328</v>
      </c>
      <c r="H179" s="16">
        <f>Table7[[#This Row],[monthly installment]]-Table7[[#This Row],[interest]]</f>
        <v>627.59714819345413</v>
      </c>
      <c r="I179" s="52">
        <f>Table7[[#This Row],[opening balance]]-Table7[[#This Row],[principal paid]]</f>
        <v>188096.48558500319</v>
      </c>
    </row>
    <row r="180" spans="4:9">
      <c r="D180">
        <f t="shared" si="15"/>
        <v>178</v>
      </c>
      <c r="E180" s="16">
        <f t="shared" si="17"/>
        <v>188096.48558500319</v>
      </c>
      <c r="F180" s="1">
        <f t="shared" si="14"/>
        <v>1571.2175618594374</v>
      </c>
      <c r="G180" s="16">
        <f>(6%/12)*Table7[[#This Row],[opening balance]]</f>
        <v>940.48242792501594</v>
      </c>
      <c r="H180" s="16">
        <f>Table7[[#This Row],[monthly installment]]-Table7[[#This Row],[interest]]</f>
        <v>630.73513393442147</v>
      </c>
      <c r="I180" s="52">
        <f>Table7[[#This Row],[opening balance]]-Table7[[#This Row],[principal paid]]</f>
        <v>187465.75045106877</v>
      </c>
    </row>
    <row r="181" spans="4:9">
      <c r="D181">
        <f t="shared" si="15"/>
        <v>179</v>
      </c>
      <c r="E181" s="16">
        <f t="shared" si="17"/>
        <v>187465.75045106877</v>
      </c>
      <c r="F181" s="1">
        <f t="shared" si="14"/>
        <v>1571.2175618594374</v>
      </c>
      <c r="G181" s="16">
        <f>(6%/12)*Table7[[#This Row],[opening balance]]</f>
        <v>937.32875225534383</v>
      </c>
      <c r="H181" s="16">
        <f>Table7[[#This Row],[monthly installment]]-Table7[[#This Row],[interest]]</f>
        <v>633.88880960409358</v>
      </c>
      <c r="I181" s="52">
        <f>Table7[[#This Row],[opening balance]]-Table7[[#This Row],[principal paid]]</f>
        <v>186831.86164146467</v>
      </c>
    </row>
    <row r="182" spans="4:9">
      <c r="D182">
        <f t="shared" si="15"/>
        <v>180</v>
      </c>
      <c r="E182" s="16">
        <f t="shared" si="17"/>
        <v>186831.86164146467</v>
      </c>
      <c r="F182" s="1">
        <f t="shared" si="14"/>
        <v>1571.2175618594374</v>
      </c>
      <c r="G182" s="16">
        <f>(6%/12)*Table7[[#This Row],[opening balance]]</f>
        <v>934.15930820732331</v>
      </c>
      <c r="H182" s="16">
        <f>Table7[[#This Row],[monthly installment]]-Table7[[#This Row],[interest]]</f>
        <v>637.0582536521141</v>
      </c>
      <c r="I182" s="52">
        <f>Table7[[#This Row],[opening balance]]-Table7[[#This Row],[principal paid]]</f>
        <v>186194.80338781254</v>
      </c>
    </row>
    <row r="183" spans="4:9">
      <c r="D183">
        <f t="shared" si="15"/>
        <v>181</v>
      </c>
      <c r="E183" s="16">
        <f t="shared" si="17"/>
        <v>186194.80338781254</v>
      </c>
      <c r="F183" s="1">
        <f t="shared" si="14"/>
        <v>1571.2175618594374</v>
      </c>
      <c r="G183" s="16">
        <f>(6%/12)*Table7[[#This Row],[opening balance]]</f>
        <v>930.97401693906272</v>
      </c>
      <c r="H183" s="16">
        <f>Table7[[#This Row],[monthly installment]]-Table7[[#This Row],[interest]]</f>
        <v>640.24354492037469</v>
      </c>
      <c r="I183" s="52">
        <f>Table7[[#This Row],[opening balance]]-Table7[[#This Row],[principal paid]]</f>
        <v>185554.55984289217</v>
      </c>
    </row>
    <row r="184" spans="4:9">
      <c r="D184">
        <f t="shared" si="15"/>
        <v>182</v>
      </c>
      <c r="E184" s="16">
        <f t="shared" si="17"/>
        <v>185554.55984289217</v>
      </c>
      <c r="F184" s="1">
        <f t="shared" si="14"/>
        <v>1571.2175618594374</v>
      </c>
      <c r="G184" s="16">
        <f>(6%/12)*Table7[[#This Row],[opening balance]]</f>
        <v>927.77279921446086</v>
      </c>
      <c r="H184" s="16">
        <f>Table7[[#This Row],[monthly installment]]-Table7[[#This Row],[interest]]</f>
        <v>643.44476264497655</v>
      </c>
      <c r="I184" s="52">
        <f>Table7[[#This Row],[opening balance]]-Table7[[#This Row],[principal paid]]</f>
        <v>184911.1150802472</v>
      </c>
    </row>
    <row r="185" spans="4:9">
      <c r="D185">
        <f t="shared" si="15"/>
        <v>183</v>
      </c>
      <c r="E185" s="16">
        <f t="shared" si="17"/>
        <v>184911.1150802472</v>
      </c>
      <c r="F185" s="1">
        <f t="shared" si="14"/>
        <v>1571.2175618594374</v>
      </c>
      <c r="G185" s="16">
        <f>(6%/12)*Table7[[#This Row],[opening balance]]</f>
        <v>924.55557540123596</v>
      </c>
      <c r="H185" s="16">
        <f>Table7[[#This Row],[monthly installment]]-Table7[[#This Row],[interest]]</f>
        <v>646.66198645820145</v>
      </c>
      <c r="I185" s="52">
        <f>Table7[[#This Row],[opening balance]]-Table7[[#This Row],[principal paid]]</f>
        <v>184264.45309378899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tabSelected="1" topLeftCell="A4" zoomScale="75" workbookViewId="0">
      <selection activeCell="A29" sqref="A29"/>
    </sheetView>
  </sheetViews>
  <sheetFormatPr defaultRowHeight="14.25"/>
  <cols>
    <col min="1" max="1" width="27.125" customWidth="1"/>
    <col min="2" max="2" width="13" bestFit="1" customWidth="1"/>
    <col min="4" max="4" width="8.75" bestFit="1" customWidth="1"/>
    <col min="5" max="5" width="13.875" bestFit="1" customWidth="1"/>
    <col min="6" max="6" width="18" bestFit="1" customWidth="1"/>
    <col min="7" max="7" width="20.5" bestFit="1" customWidth="1"/>
    <col min="8" max="8" width="10" style="16" bestFit="1" customWidth="1"/>
    <col min="9" max="9" width="17.125" style="16" bestFit="1" customWidth="1"/>
    <col min="10" max="10" width="17.125" style="52" bestFit="1" customWidth="1"/>
    <col min="12" max="12" width="10.25" customWidth="1"/>
    <col min="13" max="13" width="17.625" bestFit="1" customWidth="1"/>
    <col min="14" max="14" width="20.125" bestFit="1" customWidth="1"/>
    <col min="15" max="15" width="10" style="16" bestFit="1" customWidth="1"/>
    <col min="16" max="16" width="16.75" style="16" bestFit="1" customWidth="1"/>
    <col min="17" max="17" width="16.75" style="52" bestFit="1" customWidth="1"/>
    <col min="18" max="18" width="9" customWidth="1"/>
  </cols>
  <sheetData>
    <row r="1" spans="1:17">
      <c r="D1" t="s">
        <v>57</v>
      </c>
      <c r="E1" t="s">
        <v>77</v>
      </c>
      <c r="F1" t="s">
        <v>52</v>
      </c>
      <c r="G1" t="s">
        <v>58</v>
      </c>
      <c r="H1" s="16" t="s">
        <v>53</v>
      </c>
      <c r="I1" s="16" t="s">
        <v>78</v>
      </c>
      <c r="J1" s="52" t="s">
        <v>56</v>
      </c>
    </row>
    <row r="2" spans="1:17">
      <c r="A2" t="s">
        <v>10</v>
      </c>
      <c r="B2" t="s">
        <v>11</v>
      </c>
      <c r="D2">
        <v>0</v>
      </c>
      <c r="E2">
        <v>0</v>
      </c>
      <c r="F2" s="79" t="str">
        <f t="shared" ref="F2:F20" si="0">J1</f>
        <v>closing balance</v>
      </c>
      <c r="G2" s="79">
        <f t="shared" ref="G2:G20" si="1">$B$8</f>
        <v>600</v>
      </c>
      <c r="H2" s="16">
        <f>Table22[[#This Row],[unit interest]]*$B$10</f>
        <v>0</v>
      </c>
      <c r="I2" s="16">
        <f>Table22[[#This Row],[monthly installment]]-Table22[[#This Row],[interest]]</f>
        <v>600</v>
      </c>
      <c r="J2" s="52">
        <v>30000</v>
      </c>
    </row>
    <row r="3" spans="1:17">
      <c r="A3" t="s">
        <v>12</v>
      </c>
      <c r="B3" s="52">
        <v>30000</v>
      </c>
      <c r="D3">
        <v>1</v>
      </c>
      <c r="E3">
        <v>60</v>
      </c>
      <c r="F3" s="79">
        <f t="shared" si="0"/>
        <v>30000</v>
      </c>
      <c r="G3" s="79">
        <f t="shared" si="1"/>
        <v>600</v>
      </c>
      <c r="H3" s="16">
        <f>Table22[[#This Row],[unit interest]]*$B$10</f>
        <v>196.72131147540983</v>
      </c>
      <c r="I3" s="16">
        <f>Table22[[#This Row],[monthly installment]]-Table22[[#This Row],[interest]]</f>
        <v>403.27868852459017</v>
      </c>
      <c r="J3" s="52">
        <f>Table22[[#This Row],[opening balance]]-Table22[[#This Row],[principal repaid]]</f>
        <v>29596.721311475409</v>
      </c>
    </row>
    <row r="4" spans="1:17">
      <c r="A4" t="s">
        <v>24</v>
      </c>
      <c r="B4" s="73">
        <v>0.04</v>
      </c>
      <c r="D4">
        <f>D3+1</f>
        <v>2</v>
      </c>
      <c r="E4">
        <f>E3-1</f>
        <v>59</v>
      </c>
      <c r="F4" s="79">
        <f t="shared" si="0"/>
        <v>29596.721311475409</v>
      </c>
      <c r="G4" s="79">
        <f t="shared" si="1"/>
        <v>600</v>
      </c>
      <c r="H4" s="16">
        <f>Table22[[#This Row],[unit interest]]*$B$10</f>
        <v>193.44262295081967</v>
      </c>
      <c r="I4" s="16">
        <f>Table22[[#This Row],[monthly installment]]-Table22[[#This Row],[interest]]</f>
        <v>406.55737704918033</v>
      </c>
      <c r="J4" s="52">
        <f>Table22[[#This Row],[opening balance]]-Table22[[#This Row],[principal repaid]]</f>
        <v>29190.163934426229</v>
      </c>
    </row>
    <row r="5" spans="1:17">
      <c r="A5" t="s">
        <v>26</v>
      </c>
      <c r="B5">
        <v>5</v>
      </c>
      <c r="D5">
        <f t="shared" ref="D5:D62" si="2">D4+1</f>
        <v>3</v>
      </c>
      <c r="E5">
        <f t="shared" ref="E5:E62" si="3">E4-1</f>
        <v>58</v>
      </c>
      <c r="F5" s="79">
        <f t="shared" si="0"/>
        <v>29190.163934426229</v>
      </c>
      <c r="G5" s="79">
        <f t="shared" si="1"/>
        <v>600</v>
      </c>
      <c r="H5" s="16">
        <f>Table22[[#This Row],[unit interest]]*$B$10</f>
        <v>190.1639344262295</v>
      </c>
      <c r="I5" s="16">
        <f>Table22[[#This Row],[monthly installment]]-Table22[[#This Row],[interest]]</f>
        <v>409.8360655737705</v>
      </c>
      <c r="J5" s="52">
        <f>Table22[[#This Row],[opening balance]]-Table22[[#This Row],[principal repaid]]</f>
        <v>28780.327868852459</v>
      </c>
    </row>
    <row r="6" spans="1:17">
      <c r="A6" t="s">
        <v>15</v>
      </c>
      <c r="B6">
        <f>B5*12</f>
        <v>60</v>
      </c>
      <c r="D6">
        <f t="shared" si="2"/>
        <v>4</v>
      </c>
      <c r="E6">
        <f t="shared" si="3"/>
        <v>57</v>
      </c>
      <c r="F6" s="79">
        <f t="shared" si="0"/>
        <v>28780.327868852459</v>
      </c>
      <c r="G6" s="79">
        <f t="shared" si="1"/>
        <v>600</v>
      </c>
      <c r="H6" s="16">
        <f>Table22[[#This Row],[unit interest]]*$B$10</f>
        <v>186.88524590163934</v>
      </c>
      <c r="I6" s="16">
        <f>Table22[[#This Row],[monthly installment]]-Table22[[#This Row],[interest]]</f>
        <v>413.11475409836066</v>
      </c>
      <c r="J6" s="52">
        <f>Table22[[#This Row],[opening balance]]-Table22[[#This Row],[principal repaid]]</f>
        <v>28367.213114754097</v>
      </c>
    </row>
    <row r="7" spans="1:17">
      <c r="A7" t="s">
        <v>25</v>
      </c>
      <c r="B7" s="79">
        <f>B3*B4*B5</f>
        <v>6000</v>
      </c>
      <c r="D7">
        <f t="shared" si="2"/>
        <v>5</v>
      </c>
      <c r="E7">
        <f t="shared" si="3"/>
        <v>56</v>
      </c>
      <c r="F7" s="79">
        <f t="shared" si="0"/>
        <v>28367.213114754097</v>
      </c>
      <c r="G7" s="79">
        <f t="shared" si="1"/>
        <v>600</v>
      </c>
      <c r="H7" s="16">
        <f>Table22[[#This Row],[unit interest]]*$B$10</f>
        <v>183.60655737704917</v>
      </c>
      <c r="I7" s="16">
        <f>Table22[[#This Row],[monthly installment]]-Table22[[#This Row],[interest]]</f>
        <v>416.39344262295083</v>
      </c>
      <c r="J7" s="52">
        <f>Table22[[#This Row],[opening balance]]-Table22[[#This Row],[principal repaid]]</f>
        <v>27950.819672131147</v>
      </c>
    </row>
    <row r="8" spans="1:17">
      <c r="A8" t="s">
        <v>17</v>
      </c>
      <c r="B8" s="52">
        <f>(B3+B7)/B6</f>
        <v>600</v>
      </c>
      <c r="D8">
        <f t="shared" si="2"/>
        <v>6</v>
      </c>
      <c r="E8">
        <f t="shared" si="3"/>
        <v>55</v>
      </c>
      <c r="F8" s="79">
        <f t="shared" si="0"/>
        <v>27950.819672131147</v>
      </c>
      <c r="G8" s="79">
        <f t="shared" si="1"/>
        <v>600</v>
      </c>
      <c r="H8" s="16">
        <f>Table22[[#This Row],[unit interest]]*$B$10</f>
        <v>180.32786885245903</v>
      </c>
      <c r="I8" s="16">
        <f>Table22[[#This Row],[monthly installment]]-Table22[[#This Row],[interest]]</f>
        <v>419.67213114754099</v>
      </c>
      <c r="J8" s="52">
        <f>Table22[[#This Row],[opening balance]]-Table22[[#This Row],[principal repaid]]</f>
        <v>27531.147540983606</v>
      </c>
    </row>
    <row r="9" spans="1:17">
      <c r="A9" t="s">
        <v>27</v>
      </c>
      <c r="B9">
        <f>(B6/2)*(1+B6)</f>
        <v>1830</v>
      </c>
      <c r="D9">
        <f t="shared" si="2"/>
        <v>7</v>
      </c>
      <c r="E9">
        <f t="shared" si="3"/>
        <v>54</v>
      </c>
      <c r="F9" s="79">
        <f t="shared" si="0"/>
        <v>27531.147540983606</v>
      </c>
      <c r="G9" s="79">
        <f t="shared" si="1"/>
        <v>600</v>
      </c>
      <c r="H9" s="16">
        <f>Table22[[#This Row],[unit interest]]*$B$10</f>
        <v>177.04918032786887</v>
      </c>
      <c r="I9" s="16">
        <f>Table22[[#This Row],[monthly installment]]-Table22[[#This Row],[interest]]</f>
        <v>422.95081967213116</v>
      </c>
      <c r="J9" s="52">
        <f>Table22[[#This Row],[opening balance]]-Table22[[#This Row],[principal repaid]]</f>
        <v>27108.196721311473</v>
      </c>
    </row>
    <row r="10" spans="1:17">
      <c r="A10" t="s">
        <v>28</v>
      </c>
      <c r="B10" s="79">
        <f>B7/B9</f>
        <v>3.278688524590164</v>
      </c>
      <c r="D10">
        <f t="shared" si="2"/>
        <v>8</v>
      </c>
      <c r="E10">
        <f t="shared" si="3"/>
        <v>53</v>
      </c>
      <c r="F10" s="79">
        <f t="shared" si="0"/>
        <v>27108.196721311473</v>
      </c>
      <c r="G10" s="79">
        <f t="shared" si="1"/>
        <v>600</v>
      </c>
      <c r="H10" s="16">
        <f>Table22[[#This Row],[unit interest]]*$B$10</f>
        <v>173.7704918032787</v>
      </c>
      <c r="I10" s="16">
        <f>Table22[[#This Row],[monthly installment]]-Table22[[#This Row],[interest]]</f>
        <v>426.22950819672133</v>
      </c>
      <c r="J10" s="52">
        <f>Table22[[#This Row],[opening balance]]-Table22[[#This Row],[principal repaid]]</f>
        <v>26681.967213114753</v>
      </c>
    </row>
    <row r="11" spans="1:17">
      <c r="A11" t="s">
        <v>76</v>
      </c>
      <c r="B11" s="79">
        <f>B10*1</f>
        <v>3.278688524590164</v>
      </c>
      <c r="D11">
        <f t="shared" si="2"/>
        <v>9</v>
      </c>
      <c r="E11">
        <f t="shared" si="3"/>
        <v>52</v>
      </c>
      <c r="F11" s="79">
        <f t="shared" si="0"/>
        <v>26681.967213114753</v>
      </c>
      <c r="G11" s="79">
        <f t="shared" si="1"/>
        <v>600</v>
      </c>
      <c r="H11" s="16">
        <f>Table22[[#This Row],[unit interest]]*$B$10</f>
        <v>170.49180327868854</v>
      </c>
      <c r="I11" s="16">
        <f>Table22[[#This Row],[monthly installment]]-Table22[[#This Row],[interest]]</f>
        <v>429.50819672131149</v>
      </c>
      <c r="J11" s="52">
        <f>Table22[[#This Row],[opening balance]]-Table22[[#This Row],[principal repaid]]</f>
        <v>26252.459016393441</v>
      </c>
    </row>
    <row r="12" spans="1:17">
      <c r="D12">
        <f t="shared" si="2"/>
        <v>10</v>
      </c>
      <c r="E12">
        <f t="shared" si="3"/>
        <v>51</v>
      </c>
      <c r="F12" s="79">
        <f t="shared" si="0"/>
        <v>26252.459016393441</v>
      </c>
      <c r="G12" s="79">
        <f t="shared" si="1"/>
        <v>600</v>
      </c>
      <c r="H12" s="16">
        <f>Table22[[#This Row],[unit interest]]*$B$10</f>
        <v>167.21311475409837</v>
      </c>
      <c r="I12" s="16">
        <f>Table22[[#This Row],[monthly installment]]-Table22[[#This Row],[interest]]</f>
        <v>432.78688524590166</v>
      </c>
      <c r="J12" s="52">
        <f>Table22[[#This Row],[opening balance]]-Table22[[#This Row],[principal repaid]]</f>
        <v>25819.672131147538</v>
      </c>
    </row>
    <row r="13" spans="1:17">
      <c r="A13" t="s">
        <v>79</v>
      </c>
      <c r="D13">
        <f t="shared" si="2"/>
        <v>11</v>
      </c>
      <c r="E13">
        <f t="shared" si="3"/>
        <v>50</v>
      </c>
      <c r="F13" s="79">
        <f t="shared" si="0"/>
        <v>25819.672131147538</v>
      </c>
      <c r="G13" s="79">
        <f t="shared" si="1"/>
        <v>600</v>
      </c>
      <c r="H13" s="16">
        <f>Table22[[#This Row],[unit interest]]*$B$10</f>
        <v>163.9344262295082</v>
      </c>
      <c r="I13" s="16">
        <f>Table22[[#This Row],[monthly installment]]-Table22[[#This Row],[interest]]</f>
        <v>436.06557377049182</v>
      </c>
      <c r="J13" s="52">
        <f>Table22[[#This Row],[opening balance]]-Table22[[#This Row],[principal repaid]]</f>
        <v>25383.606557377047</v>
      </c>
    </row>
    <row r="14" spans="1:17">
      <c r="A14" t="s">
        <v>59</v>
      </c>
      <c r="B14" t="s">
        <v>60</v>
      </c>
      <c r="D14">
        <f t="shared" si="2"/>
        <v>12</v>
      </c>
      <c r="E14">
        <f t="shared" si="3"/>
        <v>49</v>
      </c>
      <c r="F14" s="79">
        <f t="shared" si="0"/>
        <v>25383.606557377047</v>
      </c>
      <c r="G14" s="79">
        <f t="shared" si="1"/>
        <v>600</v>
      </c>
      <c r="H14" s="16">
        <f>Table22[[#This Row],[unit interest]]*$B$10</f>
        <v>160.65573770491804</v>
      </c>
      <c r="I14" s="16">
        <f>Table22[[#This Row],[monthly installment]]-Table22[[#This Row],[interest]]</f>
        <v>439.34426229508199</v>
      </c>
      <c r="J14" s="52">
        <f>Table22[[#This Row],[opening balance]]-Table22[[#This Row],[principal repaid]]</f>
        <v>24944.262295081964</v>
      </c>
      <c r="L14" t="s">
        <v>57</v>
      </c>
      <c r="M14" t="s">
        <v>52</v>
      </c>
      <c r="N14" t="s">
        <v>58</v>
      </c>
      <c r="O14" s="16" t="s">
        <v>53</v>
      </c>
      <c r="P14" s="16" t="s">
        <v>78</v>
      </c>
      <c r="Q14" s="52" t="s">
        <v>56</v>
      </c>
    </row>
    <row r="15" spans="1:17">
      <c r="A15" t="s">
        <v>62</v>
      </c>
      <c r="B15" s="73">
        <v>0.04</v>
      </c>
      <c r="D15">
        <f t="shared" si="2"/>
        <v>13</v>
      </c>
      <c r="E15">
        <f t="shared" si="3"/>
        <v>48</v>
      </c>
      <c r="F15" s="79">
        <f t="shared" si="0"/>
        <v>24944.262295081964</v>
      </c>
      <c r="G15" s="79">
        <f t="shared" si="1"/>
        <v>600</v>
      </c>
      <c r="H15" s="16">
        <f>Table22[[#This Row],[unit interest]]*$B$10</f>
        <v>157.37704918032787</v>
      </c>
      <c r="I15" s="16">
        <f>Table22[[#This Row],[monthly installment]]-Table22[[#This Row],[interest]]</f>
        <v>442.62295081967216</v>
      </c>
      <c r="J15" s="52">
        <f>Table22[[#This Row],[opening balance]]-Table22[[#This Row],[principal repaid]]</f>
        <v>24501.63934426229</v>
      </c>
      <c r="L15">
        <v>0</v>
      </c>
      <c r="M15" s="79"/>
      <c r="N15" s="1"/>
      <c r="Q15" s="52">
        <f>30000</f>
        <v>30000</v>
      </c>
    </row>
    <row r="16" spans="1:17">
      <c r="A16" t="s">
        <v>72</v>
      </c>
      <c r="B16">
        <f>B15/12</f>
        <v>3.3333333333333335E-3</v>
      </c>
      <c r="D16">
        <f t="shared" si="2"/>
        <v>14</v>
      </c>
      <c r="E16">
        <f t="shared" si="3"/>
        <v>47</v>
      </c>
      <c r="F16" s="79">
        <f t="shared" si="0"/>
        <v>24501.63934426229</v>
      </c>
      <c r="G16" s="79">
        <f t="shared" si="1"/>
        <v>600</v>
      </c>
      <c r="H16" s="16">
        <f>Table22[[#This Row],[unit interest]]*$B$10</f>
        <v>154.09836065573771</v>
      </c>
      <c r="I16" s="16">
        <f>Table22[[#This Row],[monthly installment]]-Table22[[#This Row],[interest]]</f>
        <v>445.90163934426232</v>
      </c>
      <c r="J16" s="52">
        <f>Table22[[#This Row],[opening balance]]-Table22[[#This Row],[principal repaid]]</f>
        <v>24055.737704918029</v>
      </c>
      <c r="L16">
        <v>1</v>
      </c>
      <c r="M16" s="79">
        <f t="shared" ref="M15:M46" si="4">Q15</f>
        <v>30000</v>
      </c>
      <c r="N16" s="1">
        <f t="shared" ref="N15:N46" si="5">$B$17</f>
        <v>552.49566165799058</v>
      </c>
      <c r="O16" s="16">
        <f>Table25[[#This Row],[opening balance]]*(4%/12)</f>
        <v>100</v>
      </c>
      <c r="P16" s="16">
        <f>Table25[[#This Row],[monthly installment]]-Table25[[#This Row],[interest]]</f>
        <v>452.49566165799058</v>
      </c>
      <c r="Q16" s="52">
        <f>Table25[[#This Row],[opening balance]]-Table25[[#This Row],[principal repaid]]</f>
        <v>29547.504338342009</v>
      </c>
    </row>
    <row r="17" spans="1:17">
      <c r="A17" t="s">
        <v>58</v>
      </c>
      <c r="B17" s="1">
        <f>PMT(B16,B6,-B3)</f>
        <v>552.49566165799058</v>
      </c>
      <c r="D17">
        <f t="shared" si="2"/>
        <v>15</v>
      </c>
      <c r="E17">
        <f t="shared" si="3"/>
        <v>46</v>
      </c>
      <c r="F17" s="79">
        <f t="shared" si="0"/>
        <v>24055.737704918029</v>
      </c>
      <c r="G17" s="79">
        <f t="shared" si="1"/>
        <v>600</v>
      </c>
      <c r="H17" s="16">
        <f>Table22[[#This Row],[unit interest]]*$B$10</f>
        <v>150.81967213114754</v>
      </c>
      <c r="I17" s="16">
        <f>Table22[[#This Row],[monthly installment]]-Table22[[#This Row],[interest]]</f>
        <v>449.18032786885249</v>
      </c>
      <c r="J17" s="52">
        <f>Table22[[#This Row],[opening balance]]-Table22[[#This Row],[principal repaid]]</f>
        <v>23606.557377049176</v>
      </c>
      <c r="L17">
        <f>L16+1</f>
        <v>2</v>
      </c>
      <c r="M17" s="79">
        <f t="shared" si="4"/>
        <v>29547.504338342009</v>
      </c>
      <c r="N17" s="1">
        <f t="shared" si="5"/>
        <v>552.49566165799058</v>
      </c>
      <c r="O17" s="16">
        <f>Table25[[#This Row],[opening balance]]*(4%/12)</f>
        <v>98.4916811278067</v>
      </c>
      <c r="P17" s="16">
        <f>Table25[[#This Row],[monthly installment]]-Table25[[#This Row],[interest]]</f>
        <v>454.00398053018387</v>
      </c>
      <c r="Q17" s="52">
        <f>Table25[[#This Row],[opening balance]]-Table25[[#This Row],[principal repaid]]</f>
        <v>29093.500357811827</v>
      </c>
    </row>
    <row r="18" spans="1:17">
      <c r="A18" t="s">
        <v>80</v>
      </c>
      <c r="B18" s="1">
        <f>PV(B16,1,-B17)</f>
        <v>550.66012789834213</v>
      </c>
      <c r="D18">
        <f t="shared" si="2"/>
        <v>16</v>
      </c>
      <c r="E18">
        <f t="shared" si="3"/>
        <v>45</v>
      </c>
      <c r="F18" s="79">
        <f t="shared" si="0"/>
        <v>23606.557377049176</v>
      </c>
      <c r="G18" s="79">
        <f t="shared" si="1"/>
        <v>600</v>
      </c>
      <c r="H18" s="16">
        <f>Table22[[#This Row],[unit interest]]*$B$10</f>
        <v>147.54098360655738</v>
      </c>
      <c r="I18" s="16">
        <f>Table22[[#This Row],[monthly installment]]-Table22[[#This Row],[interest]]</f>
        <v>452.45901639344265</v>
      </c>
      <c r="J18" s="52">
        <f>Table22[[#This Row],[opening balance]]-Table22[[#This Row],[principal repaid]]</f>
        <v>23154.098360655735</v>
      </c>
      <c r="L18">
        <f t="shared" ref="L18:L75" si="6">L17+1</f>
        <v>3</v>
      </c>
      <c r="M18" s="79">
        <f t="shared" si="4"/>
        <v>29093.500357811827</v>
      </c>
      <c r="N18" s="1">
        <f t="shared" si="5"/>
        <v>552.49566165799058</v>
      </c>
      <c r="O18" s="16">
        <f>Table25[[#This Row],[opening balance]]*(4%/12)</f>
        <v>96.978334526039433</v>
      </c>
      <c r="P18" s="16">
        <f>Table25[[#This Row],[monthly installment]]-Table25[[#This Row],[interest]]</f>
        <v>455.51732713195116</v>
      </c>
      <c r="Q18" s="52">
        <f>Table25[[#This Row],[opening balance]]-Table25[[#This Row],[principal repaid]]</f>
        <v>28637.983030679876</v>
      </c>
    </row>
    <row r="19" spans="1:17">
      <c r="A19" t="s">
        <v>81</v>
      </c>
      <c r="B19" s="1">
        <f>IPMT(B16,60,B6,-B3)</f>
        <v>1.8355337596610986</v>
      </c>
      <c r="D19">
        <f t="shared" si="2"/>
        <v>17</v>
      </c>
      <c r="E19">
        <f t="shared" si="3"/>
        <v>44</v>
      </c>
      <c r="F19" s="79">
        <f t="shared" si="0"/>
        <v>23154.098360655735</v>
      </c>
      <c r="G19" s="79">
        <f t="shared" si="1"/>
        <v>600</v>
      </c>
      <c r="H19" s="16">
        <f>Table22[[#This Row],[unit interest]]*$B$10</f>
        <v>144.26229508196721</v>
      </c>
      <c r="I19" s="16">
        <f>Table22[[#This Row],[monthly installment]]-Table22[[#This Row],[interest]]</f>
        <v>455.73770491803282</v>
      </c>
      <c r="J19" s="52">
        <f>Table22[[#This Row],[opening balance]]-Table22[[#This Row],[principal repaid]]</f>
        <v>22698.360655737702</v>
      </c>
      <c r="L19">
        <f t="shared" si="6"/>
        <v>4</v>
      </c>
      <c r="M19" s="79">
        <f t="shared" si="4"/>
        <v>28637.983030679876</v>
      </c>
      <c r="N19" s="1">
        <f t="shared" si="5"/>
        <v>552.49566165799058</v>
      </c>
      <c r="O19" s="16">
        <f>Table25[[#This Row],[opening balance]]*(4%/12)</f>
        <v>95.459943435599598</v>
      </c>
      <c r="P19" s="16">
        <f>Table25[[#This Row],[monthly installment]]-Table25[[#This Row],[interest]]</f>
        <v>457.03571822239098</v>
      </c>
      <c r="Q19" s="52">
        <f>Table25[[#This Row],[opening balance]]-Table25[[#This Row],[principal repaid]]</f>
        <v>28180.947312457483</v>
      </c>
    </row>
    <row r="20" spans="1:17">
      <c r="D20">
        <f t="shared" si="2"/>
        <v>18</v>
      </c>
      <c r="E20">
        <f t="shared" si="3"/>
        <v>43</v>
      </c>
      <c r="F20" s="79">
        <f t="shared" si="0"/>
        <v>22698.360655737702</v>
      </c>
      <c r="G20" s="79">
        <f t="shared" si="1"/>
        <v>600</v>
      </c>
      <c r="H20" s="16">
        <f>Table22[[#This Row],[unit interest]]*$B$10</f>
        <v>140.98360655737704</v>
      </c>
      <c r="I20" s="16">
        <f>Table22[[#This Row],[monthly installment]]-Table22[[#This Row],[interest]]</f>
        <v>459.01639344262298</v>
      </c>
      <c r="J20" s="52">
        <f>Table22[[#This Row],[opening balance]]-Table22[[#This Row],[principal repaid]]</f>
        <v>22239.344262295079</v>
      </c>
      <c r="L20">
        <f t="shared" si="6"/>
        <v>5</v>
      </c>
      <c r="M20" s="79">
        <f t="shared" si="4"/>
        <v>28180.947312457483</v>
      </c>
      <c r="N20" s="1">
        <f t="shared" si="5"/>
        <v>552.49566165799058</v>
      </c>
      <c r="O20" s="16">
        <f>Table25[[#This Row],[opening balance]]*(4%/12)</f>
        <v>93.936491041524945</v>
      </c>
      <c r="P20" s="16">
        <f>Table25[[#This Row],[monthly installment]]-Table25[[#This Row],[interest]]</f>
        <v>458.55917061646562</v>
      </c>
      <c r="Q20" s="52">
        <f>Table25[[#This Row],[opening balance]]-Table25[[#This Row],[principal repaid]]</f>
        <v>27722.388141841016</v>
      </c>
    </row>
    <row r="21" spans="1:17">
      <c r="D21">
        <f t="shared" si="2"/>
        <v>19</v>
      </c>
      <c r="E21">
        <f t="shared" si="3"/>
        <v>42</v>
      </c>
      <c r="F21" s="79">
        <f t="shared" ref="F21:F23" si="7">J20</f>
        <v>22239.344262295079</v>
      </c>
      <c r="G21" s="79">
        <f t="shared" ref="G21:G23" si="8">$B$8</f>
        <v>600</v>
      </c>
      <c r="H21" s="16">
        <f>Table22[[#This Row],[unit interest]]*$B$10</f>
        <v>137.70491803278688</v>
      </c>
      <c r="I21" s="16">
        <f>Table22[[#This Row],[monthly installment]]-Table22[[#This Row],[interest]]</f>
        <v>462.29508196721315</v>
      </c>
      <c r="J21" s="52">
        <f>Table22[[#This Row],[opening balance]]-Table22[[#This Row],[principal repaid]]</f>
        <v>21777.049180327867</v>
      </c>
      <c r="L21">
        <f t="shared" si="6"/>
        <v>6</v>
      </c>
      <c r="M21" s="79">
        <f t="shared" si="4"/>
        <v>27722.388141841016</v>
      </c>
      <c r="N21" s="1">
        <f t="shared" si="5"/>
        <v>552.49566165799058</v>
      </c>
      <c r="O21" s="16">
        <f>Table25[[#This Row],[opening balance]]*(4%/12)</f>
        <v>92.407960472803396</v>
      </c>
      <c r="P21" s="16">
        <f>Table25[[#This Row],[monthly installment]]-Table25[[#This Row],[interest]]</f>
        <v>460.0877011851872</v>
      </c>
      <c r="Q21" s="52">
        <f>Table25[[#This Row],[opening balance]]-Table25[[#This Row],[principal repaid]]</f>
        <v>27262.300440655828</v>
      </c>
    </row>
    <row r="22" spans="1:17">
      <c r="D22">
        <f t="shared" si="2"/>
        <v>20</v>
      </c>
      <c r="E22">
        <f t="shared" si="3"/>
        <v>41</v>
      </c>
      <c r="F22" s="79">
        <f t="shared" si="7"/>
        <v>21777.049180327867</v>
      </c>
      <c r="G22" s="79">
        <f t="shared" si="8"/>
        <v>600</v>
      </c>
      <c r="H22" s="16">
        <f>Table22[[#This Row],[unit interest]]*$B$10</f>
        <v>134.42622950819671</v>
      </c>
      <c r="I22" s="16">
        <f>Table22[[#This Row],[monthly installment]]-Table22[[#This Row],[interest]]</f>
        <v>465.57377049180332</v>
      </c>
      <c r="J22" s="52">
        <f>Table22[[#This Row],[opening balance]]-Table22[[#This Row],[principal repaid]]</f>
        <v>21311.475409836065</v>
      </c>
      <c r="L22">
        <f t="shared" si="6"/>
        <v>7</v>
      </c>
      <c r="M22" s="79">
        <f t="shared" si="4"/>
        <v>27262.300440655828</v>
      </c>
      <c r="N22" s="1">
        <f t="shared" si="5"/>
        <v>552.49566165799058</v>
      </c>
      <c r="O22" s="16">
        <f>Table25[[#This Row],[opening balance]]*(4%/12)</f>
        <v>90.874334802186098</v>
      </c>
      <c r="P22" s="16">
        <f>Table25[[#This Row],[monthly installment]]-Table25[[#This Row],[interest]]</f>
        <v>461.62132685580445</v>
      </c>
      <c r="Q22" s="52">
        <f>Table25[[#This Row],[opening balance]]-Table25[[#This Row],[principal repaid]]</f>
        <v>26800.679113800023</v>
      </c>
    </row>
    <row r="23" spans="1:17">
      <c r="D23">
        <f t="shared" si="2"/>
        <v>21</v>
      </c>
      <c r="E23">
        <f t="shared" si="3"/>
        <v>40</v>
      </c>
      <c r="F23" s="79">
        <f t="shared" si="7"/>
        <v>21311.475409836065</v>
      </c>
      <c r="G23" s="79">
        <f t="shared" si="8"/>
        <v>600</v>
      </c>
      <c r="H23" s="16">
        <f>Table22[[#This Row],[unit interest]]*$B$10</f>
        <v>131.14754098360658</v>
      </c>
      <c r="I23" s="16">
        <f>Table22[[#This Row],[monthly installment]]-Table22[[#This Row],[interest]]</f>
        <v>468.85245901639342</v>
      </c>
      <c r="J23" s="52">
        <f>Table22[[#This Row],[opening balance]]-Table22[[#This Row],[principal repaid]]</f>
        <v>20842.62295081967</v>
      </c>
      <c r="L23">
        <f t="shared" si="6"/>
        <v>8</v>
      </c>
      <c r="M23" s="79">
        <f t="shared" si="4"/>
        <v>26800.679113800023</v>
      </c>
      <c r="N23" s="1">
        <f t="shared" si="5"/>
        <v>552.49566165799058</v>
      </c>
      <c r="O23" s="16">
        <f>Table25[[#This Row],[opening balance]]*(4%/12)</f>
        <v>89.335597046000075</v>
      </c>
      <c r="P23" s="16">
        <f>Table25[[#This Row],[monthly installment]]-Table25[[#This Row],[interest]]</f>
        <v>463.16006461199049</v>
      </c>
      <c r="Q23" s="52">
        <f>Table25[[#This Row],[opening balance]]-Table25[[#This Row],[principal repaid]]</f>
        <v>26337.519049188031</v>
      </c>
    </row>
    <row r="24" spans="1:17">
      <c r="D24">
        <f t="shared" si="2"/>
        <v>22</v>
      </c>
      <c r="E24">
        <f t="shared" si="3"/>
        <v>39</v>
      </c>
      <c r="F24" s="79">
        <f t="shared" ref="F24:F49" si="9">J23</f>
        <v>20842.62295081967</v>
      </c>
      <c r="G24" s="79">
        <f t="shared" ref="G24:G49" si="10">$B$8</f>
        <v>600</v>
      </c>
      <c r="H24" s="16">
        <f>Table22[[#This Row],[unit interest]]*$B$10</f>
        <v>127.8688524590164</v>
      </c>
      <c r="I24" s="16">
        <f>Table22[[#This Row],[monthly installment]]-Table22[[#This Row],[interest]]</f>
        <v>472.13114754098359</v>
      </c>
      <c r="J24" s="52">
        <f>Table22[[#This Row],[opening balance]]-Table22[[#This Row],[principal repaid]]</f>
        <v>20370.491803278688</v>
      </c>
      <c r="L24">
        <f t="shared" si="6"/>
        <v>9</v>
      </c>
      <c r="M24" s="79">
        <f t="shared" si="4"/>
        <v>26337.519049188031</v>
      </c>
      <c r="N24" s="1">
        <f t="shared" si="5"/>
        <v>552.49566165799058</v>
      </c>
      <c r="O24" s="16">
        <f>Table25[[#This Row],[opening balance]]*(4%/12)</f>
        <v>87.791730163960111</v>
      </c>
      <c r="P24" s="16">
        <f>Table25[[#This Row],[monthly installment]]-Table25[[#This Row],[interest]]</f>
        <v>464.70393149403048</v>
      </c>
      <c r="Q24" s="52">
        <f>Table25[[#This Row],[opening balance]]-Table25[[#This Row],[principal repaid]]</f>
        <v>25872.815117694001</v>
      </c>
    </row>
    <row r="25" spans="1:17">
      <c r="D25">
        <f t="shared" si="2"/>
        <v>23</v>
      </c>
      <c r="E25">
        <f t="shared" si="3"/>
        <v>38</v>
      </c>
      <c r="F25" s="79">
        <f t="shared" si="9"/>
        <v>20370.491803278688</v>
      </c>
      <c r="G25" s="79">
        <f t="shared" si="10"/>
        <v>600</v>
      </c>
      <c r="H25" s="16">
        <f>Table22[[#This Row],[unit interest]]*$B$10</f>
        <v>124.59016393442623</v>
      </c>
      <c r="I25" s="16">
        <f>Table22[[#This Row],[monthly installment]]-Table22[[#This Row],[interest]]</f>
        <v>475.40983606557376</v>
      </c>
      <c r="J25" s="52">
        <f>Table22[[#This Row],[opening balance]]-Table22[[#This Row],[principal repaid]]</f>
        <v>19895.081967213115</v>
      </c>
      <c r="L25">
        <f t="shared" si="6"/>
        <v>10</v>
      </c>
      <c r="M25" s="79">
        <f t="shared" si="4"/>
        <v>25872.815117694001</v>
      </c>
      <c r="N25" s="1">
        <f t="shared" si="5"/>
        <v>552.49566165799058</v>
      </c>
      <c r="O25" s="16">
        <f>Table25[[#This Row],[opening balance]]*(4%/12)</f>
        <v>86.242717058980006</v>
      </c>
      <c r="P25" s="16">
        <f>Table25[[#This Row],[monthly installment]]-Table25[[#This Row],[interest]]</f>
        <v>466.25294459901056</v>
      </c>
      <c r="Q25" s="52">
        <f>Table25[[#This Row],[opening balance]]-Table25[[#This Row],[principal repaid]]</f>
        <v>25406.56217309499</v>
      </c>
    </row>
    <row r="26" spans="1:17">
      <c r="D26">
        <f t="shared" si="2"/>
        <v>24</v>
      </c>
      <c r="E26">
        <f t="shared" si="3"/>
        <v>37</v>
      </c>
      <c r="F26" s="79">
        <f t="shared" si="9"/>
        <v>19895.081967213115</v>
      </c>
      <c r="G26" s="79">
        <f t="shared" si="10"/>
        <v>600</v>
      </c>
      <c r="H26" s="16">
        <f>Table22[[#This Row],[unit interest]]*$B$10</f>
        <v>121.31147540983606</v>
      </c>
      <c r="I26" s="16">
        <f>Table22[[#This Row],[monthly installment]]-Table22[[#This Row],[interest]]</f>
        <v>478.68852459016392</v>
      </c>
      <c r="J26" s="52">
        <f>Table22[[#This Row],[opening balance]]-Table22[[#This Row],[principal repaid]]</f>
        <v>19416.39344262295</v>
      </c>
      <c r="L26">
        <f t="shared" si="6"/>
        <v>11</v>
      </c>
      <c r="M26" s="79">
        <f t="shared" si="4"/>
        <v>25406.56217309499</v>
      </c>
      <c r="N26" s="1">
        <f t="shared" si="5"/>
        <v>552.49566165799058</v>
      </c>
      <c r="O26" s="16">
        <f>Table25[[#This Row],[opening balance]]*(4%/12)</f>
        <v>84.6885405769833</v>
      </c>
      <c r="P26" s="16">
        <f>Table25[[#This Row],[monthly installment]]-Table25[[#This Row],[interest]]</f>
        <v>467.80712108100727</v>
      </c>
      <c r="Q26" s="52">
        <f>Table25[[#This Row],[opening balance]]-Table25[[#This Row],[principal repaid]]</f>
        <v>24938.755052013981</v>
      </c>
    </row>
    <row r="27" spans="1:17">
      <c r="D27">
        <f t="shared" si="2"/>
        <v>25</v>
      </c>
      <c r="E27">
        <f t="shared" si="3"/>
        <v>36</v>
      </c>
      <c r="F27" s="79">
        <f t="shared" si="9"/>
        <v>19416.39344262295</v>
      </c>
      <c r="G27" s="79">
        <f t="shared" si="10"/>
        <v>600</v>
      </c>
      <c r="H27" s="16">
        <f>Table22[[#This Row],[unit interest]]*$B$10</f>
        <v>118.03278688524591</v>
      </c>
      <c r="I27" s="16">
        <f>Table22[[#This Row],[monthly installment]]-Table22[[#This Row],[interest]]</f>
        <v>481.96721311475409</v>
      </c>
      <c r="J27" s="52">
        <f>Table22[[#This Row],[opening balance]]-Table22[[#This Row],[principal repaid]]</f>
        <v>18934.426229508197</v>
      </c>
      <c r="L27">
        <f t="shared" si="6"/>
        <v>12</v>
      </c>
      <c r="M27" s="79">
        <f t="shared" si="4"/>
        <v>24938.755052013981</v>
      </c>
      <c r="N27" s="1">
        <f t="shared" si="5"/>
        <v>552.49566165799058</v>
      </c>
      <c r="O27" s="16">
        <f>Table25[[#This Row],[opening balance]]*(4%/12)</f>
        <v>83.129183506713275</v>
      </c>
      <c r="P27" s="16">
        <f>Table25[[#This Row],[monthly installment]]-Table25[[#This Row],[interest]]</f>
        <v>469.36647815127731</v>
      </c>
      <c r="Q27" s="52">
        <f>Table25[[#This Row],[opening balance]]-Table25[[#This Row],[principal repaid]]</f>
        <v>24469.388573862703</v>
      </c>
    </row>
    <row r="28" spans="1:17">
      <c r="D28">
        <f t="shared" si="2"/>
        <v>26</v>
      </c>
      <c r="E28">
        <f t="shared" si="3"/>
        <v>35</v>
      </c>
      <c r="F28" s="79">
        <f t="shared" si="9"/>
        <v>18934.426229508197</v>
      </c>
      <c r="G28" s="79">
        <f t="shared" si="10"/>
        <v>600</v>
      </c>
      <c r="H28" s="16">
        <f>Table22[[#This Row],[unit interest]]*$B$10</f>
        <v>114.75409836065575</v>
      </c>
      <c r="I28" s="16">
        <f>Table22[[#This Row],[monthly installment]]-Table22[[#This Row],[interest]]</f>
        <v>485.24590163934425</v>
      </c>
      <c r="J28" s="52">
        <f>Table22[[#This Row],[opening balance]]-Table22[[#This Row],[principal repaid]]</f>
        <v>18449.180327868853</v>
      </c>
      <c r="L28">
        <f t="shared" si="6"/>
        <v>13</v>
      </c>
      <c r="M28" s="79">
        <f t="shared" si="4"/>
        <v>24469.388573862703</v>
      </c>
      <c r="N28" s="1">
        <f t="shared" si="5"/>
        <v>552.49566165799058</v>
      </c>
      <c r="O28" s="16">
        <f>Table25[[#This Row],[opening balance]]*(4%/12)</f>
        <v>81.564628579542344</v>
      </c>
      <c r="P28" s="16">
        <f>Table25[[#This Row],[monthly installment]]-Table25[[#This Row],[interest]]</f>
        <v>470.93103307844825</v>
      </c>
      <c r="Q28" s="52">
        <f>Table25[[#This Row],[opening balance]]-Table25[[#This Row],[principal repaid]]</f>
        <v>23998.457540784257</v>
      </c>
    </row>
    <row r="29" spans="1:17">
      <c r="D29">
        <f t="shared" si="2"/>
        <v>27</v>
      </c>
      <c r="E29">
        <f t="shared" si="3"/>
        <v>34</v>
      </c>
      <c r="F29" s="79">
        <f t="shared" si="9"/>
        <v>18449.180327868853</v>
      </c>
      <c r="G29" s="79">
        <f t="shared" si="10"/>
        <v>600</v>
      </c>
      <c r="H29" s="16">
        <f>Table22[[#This Row],[unit interest]]*$B$10</f>
        <v>111.47540983606558</v>
      </c>
      <c r="I29" s="16">
        <f>Table22[[#This Row],[monthly installment]]-Table22[[#This Row],[interest]]</f>
        <v>488.52459016393442</v>
      </c>
      <c r="J29" s="52">
        <f>Table22[[#This Row],[opening balance]]-Table22[[#This Row],[principal repaid]]</f>
        <v>17960.655737704918</v>
      </c>
      <c r="L29">
        <f t="shared" si="6"/>
        <v>14</v>
      </c>
      <c r="M29" s="79">
        <f t="shared" si="4"/>
        <v>23998.457540784257</v>
      </c>
      <c r="N29" s="1">
        <f t="shared" si="5"/>
        <v>552.49566165799058</v>
      </c>
      <c r="O29" s="16">
        <f>Table25[[#This Row],[opening balance]]*(4%/12)</f>
        <v>79.994858469280857</v>
      </c>
      <c r="P29" s="16">
        <f>Table25[[#This Row],[monthly installment]]-Table25[[#This Row],[interest]]</f>
        <v>472.50080318870971</v>
      </c>
      <c r="Q29" s="52">
        <f>Table25[[#This Row],[opening balance]]-Table25[[#This Row],[principal repaid]]</f>
        <v>23525.956737595548</v>
      </c>
    </row>
    <row r="30" spans="1:17">
      <c r="D30">
        <f t="shared" si="2"/>
        <v>28</v>
      </c>
      <c r="E30">
        <f t="shared" si="3"/>
        <v>33</v>
      </c>
      <c r="F30" s="79">
        <f t="shared" si="9"/>
        <v>17960.655737704918</v>
      </c>
      <c r="G30" s="79">
        <f t="shared" si="10"/>
        <v>600</v>
      </c>
      <c r="H30" s="16">
        <f>Table22[[#This Row],[unit interest]]*$B$10</f>
        <v>108.19672131147541</v>
      </c>
      <c r="I30" s="16">
        <f>Table22[[#This Row],[monthly installment]]-Table22[[#This Row],[interest]]</f>
        <v>491.80327868852459</v>
      </c>
      <c r="J30" s="52">
        <f>Table22[[#This Row],[opening balance]]-Table22[[#This Row],[principal repaid]]</f>
        <v>17468.852459016394</v>
      </c>
      <c r="L30">
        <f t="shared" si="6"/>
        <v>15</v>
      </c>
      <c r="M30" s="79">
        <f t="shared" si="4"/>
        <v>23525.956737595548</v>
      </c>
      <c r="N30" s="1">
        <f t="shared" si="5"/>
        <v>552.49566165799058</v>
      </c>
      <c r="O30" s="16">
        <f>Table25[[#This Row],[opening balance]]*(4%/12)</f>
        <v>78.419855791985171</v>
      </c>
      <c r="P30" s="16">
        <f>Table25[[#This Row],[monthly installment]]-Table25[[#This Row],[interest]]</f>
        <v>474.0758058660054</v>
      </c>
      <c r="Q30" s="52">
        <f>Table25[[#This Row],[opening balance]]-Table25[[#This Row],[principal repaid]]</f>
        <v>23051.880931729542</v>
      </c>
    </row>
    <row r="31" spans="1:17">
      <c r="D31">
        <f t="shared" si="2"/>
        <v>29</v>
      </c>
      <c r="E31">
        <f t="shared" si="3"/>
        <v>32</v>
      </c>
      <c r="F31" s="79">
        <f t="shared" si="9"/>
        <v>17468.852459016394</v>
      </c>
      <c r="G31" s="79">
        <f t="shared" si="10"/>
        <v>600</v>
      </c>
      <c r="H31" s="16">
        <f>Table22[[#This Row],[unit interest]]*$B$10</f>
        <v>104.91803278688525</v>
      </c>
      <c r="I31" s="16">
        <f>Table22[[#This Row],[monthly installment]]-Table22[[#This Row],[interest]]</f>
        <v>495.08196721311475</v>
      </c>
      <c r="J31" s="52">
        <f>Table22[[#This Row],[opening balance]]-Table22[[#This Row],[principal repaid]]</f>
        <v>16973.77049180328</v>
      </c>
      <c r="L31">
        <f t="shared" si="6"/>
        <v>16</v>
      </c>
      <c r="M31" s="79">
        <f t="shared" si="4"/>
        <v>23051.880931729542</v>
      </c>
      <c r="N31" s="1">
        <f t="shared" si="5"/>
        <v>552.49566165799058</v>
      </c>
      <c r="O31" s="16">
        <f>Table25[[#This Row],[opening balance]]*(4%/12)</f>
        <v>76.83960310576515</v>
      </c>
      <c r="P31" s="16">
        <f>Table25[[#This Row],[monthly installment]]-Table25[[#This Row],[interest]]</f>
        <v>475.65605855222543</v>
      </c>
      <c r="Q31" s="52">
        <f>Table25[[#This Row],[opening balance]]-Table25[[#This Row],[principal repaid]]</f>
        <v>22576.224873177318</v>
      </c>
    </row>
    <row r="32" spans="1:17">
      <c r="D32">
        <f t="shared" si="2"/>
        <v>30</v>
      </c>
      <c r="E32">
        <f t="shared" si="3"/>
        <v>31</v>
      </c>
      <c r="F32" s="79">
        <f t="shared" si="9"/>
        <v>16973.77049180328</v>
      </c>
      <c r="G32" s="79">
        <f t="shared" si="10"/>
        <v>600</v>
      </c>
      <c r="H32" s="16">
        <f>Table22[[#This Row],[unit interest]]*$B$10</f>
        <v>101.63934426229508</v>
      </c>
      <c r="I32" s="16">
        <f>Table22[[#This Row],[monthly installment]]-Table22[[#This Row],[interest]]</f>
        <v>498.36065573770492</v>
      </c>
      <c r="J32" s="52">
        <f>Table22[[#This Row],[opening balance]]-Table22[[#This Row],[principal repaid]]</f>
        <v>16475.409836065573</v>
      </c>
      <c r="L32">
        <f t="shared" si="6"/>
        <v>17</v>
      </c>
      <c r="M32" s="79">
        <f t="shared" si="4"/>
        <v>22576.224873177318</v>
      </c>
      <c r="N32" s="1">
        <f t="shared" si="5"/>
        <v>552.49566165799058</v>
      </c>
      <c r="O32" s="16">
        <f>Table25[[#This Row],[opening balance]]*(4%/12)</f>
        <v>75.254082910591066</v>
      </c>
      <c r="P32" s="16">
        <f>Table25[[#This Row],[monthly installment]]-Table25[[#This Row],[interest]]</f>
        <v>477.2415787473995</v>
      </c>
      <c r="Q32" s="52">
        <f>Table25[[#This Row],[opening balance]]-Table25[[#This Row],[principal repaid]]</f>
        <v>22098.98329442992</v>
      </c>
    </row>
    <row r="33" spans="4:17">
      <c r="D33">
        <f t="shared" si="2"/>
        <v>31</v>
      </c>
      <c r="E33">
        <f t="shared" si="3"/>
        <v>30</v>
      </c>
      <c r="F33" s="79">
        <f t="shared" si="9"/>
        <v>16475.409836065573</v>
      </c>
      <c r="G33" s="79">
        <f t="shared" si="10"/>
        <v>600</v>
      </c>
      <c r="H33" s="16">
        <f>Table22[[#This Row],[unit interest]]*$B$10</f>
        <v>98.360655737704917</v>
      </c>
      <c r="I33" s="16">
        <f>Table22[[#This Row],[monthly installment]]-Table22[[#This Row],[interest]]</f>
        <v>501.63934426229508</v>
      </c>
      <c r="J33" s="52">
        <f>Table22[[#This Row],[opening balance]]-Table22[[#This Row],[principal repaid]]</f>
        <v>15973.770491803278</v>
      </c>
      <c r="L33">
        <f t="shared" si="6"/>
        <v>18</v>
      </c>
      <c r="M33" s="79">
        <f t="shared" si="4"/>
        <v>22098.98329442992</v>
      </c>
      <c r="N33" s="1">
        <f t="shared" si="5"/>
        <v>552.49566165799058</v>
      </c>
      <c r="O33" s="16">
        <f>Table25[[#This Row],[opening balance]]*(4%/12)</f>
        <v>73.663277648099736</v>
      </c>
      <c r="P33" s="16">
        <f>Table25[[#This Row],[monthly installment]]-Table25[[#This Row],[interest]]</f>
        <v>478.83238400989086</v>
      </c>
      <c r="Q33" s="52">
        <f>Table25[[#This Row],[opening balance]]-Table25[[#This Row],[principal repaid]]</f>
        <v>21620.15091042003</v>
      </c>
    </row>
    <row r="34" spans="4:17">
      <c r="D34">
        <f t="shared" si="2"/>
        <v>32</v>
      </c>
      <c r="E34">
        <f t="shared" si="3"/>
        <v>29</v>
      </c>
      <c r="F34" s="79">
        <f t="shared" si="9"/>
        <v>15973.770491803278</v>
      </c>
      <c r="G34" s="79">
        <f t="shared" si="10"/>
        <v>600</v>
      </c>
      <c r="H34" s="16">
        <f>Table22[[#This Row],[unit interest]]*$B$10</f>
        <v>95.081967213114751</v>
      </c>
      <c r="I34" s="16">
        <f>Table22[[#This Row],[monthly installment]]-Table22[[#This Row],[interest]]</f>
        <v>504.91803278688525</v>
      </c>
      <c r="J34" s="52">
        <f>Table22[[#This Row],[opening balance]]-Table22[[#This Row],[principal repaid]]</f>
        <v>15468.852459016392</v>
      </c>
      <c r="L34">
        <f t="shared" si="6"/>
        <v>19</v>
      </c>
      <c r="M34" s="79">
        <f t="shared" si="4"/>
        <v>21620.15091042003</v>
      </c>
      <c r="N34" s="1">
        <f t="shared" si="5"/>
        <v>552.49566165799058</v>
      </c>
      <c r="O34" s="16">
        <f>Table25[[#This Row],[opening balance]]*(4%/12)</f>
        <v>72.067169701400104</v>
      </c>
      <c r="P34" s="16">
        <f>Table25[[#This Row],[monthly installment]]-Table25[[#This Row],[interest]]</f>
        <v>480.42849195659051</v>
      </c>
      <c r="Q34" s="52">
        <f>Table25[[#This Row],[opening balance]]-Table25[[#This Row],[principal repaid]]</f>
        <v>21139.72241846344</v>
      </c>
    </row>
    <row r="35" spans="4:17">
      <c r="D35">
        <f t="shared" si="2"/>
        <v>33</v>
      </c>
      <c r="E35">
        <f t="shared" si="3"/>
        <v>28</v>
      </c>
      <c r="F35" s="79">
        <f t="shared" si="9"/>
        <v>15468.852459016392</v>
      </c>
      <c r="G35" s="79">
        <f t="shared" si="10"/>
        <v>600</v>
      </c>
      <c r="H35" s="16">
        <f>Table22[[#This Row],[unit interest]]*$B$10</f>
        <v>91.803278688524586</v>
      </c>
      <c r="I35" s="16">
        <f>Table22[[#This Row],[monthly installment]]-Table22[[#This Row],[interest]]</f>
        <v>508.19672131147541</v>
      </c>
      <c r="J35" s="52">
        <f>Table22[[#This Row],[opening balance]]-Table22[[#This Row],[principal repaid]]</f>
        <v>14960.655737704918</v>
      </c>
      <c r="L35">
        <f t="shared" si="6"/>
        <v>20</v>
      </c>
      <c r="M35" s="79">
        <f t="shared" si="4"/>
        <v>21139.72241846344</v>
      </c>
      <c r="N35" s="1">
        <f t="shared" si="5"/>
        <v>552.49566165799058</v>
      </c>
      <c r="O35" s="16">
        <f>Table25[[#This Row],[opening balance]]*(4%/12)</f>
        <v>70.465741394878137</v>
      </c>
      <c r="P35" s="16">
        <f>Table25[[#This Row],[monthly installment]]-Table25[[#This Row],[interest]]</f>
        <v>482.02992026311244</v>
      </c>
      <c r="Q35" s="52">
        <f>Table25[[#This Row],[opening balance]]-Table25[[#This Row],[principal repaid]]</f>
        <v>20657.692498200326</v>
      </c>
    </row>
    <row r="36" spans="4:17">
      <c r="D36">
        <f t="shared" si="2"/>
        <v>34</v>
      </c>
      <c r="E36">
        <f t="shared" si="3"/>
        <v>27</v>
      </c>
      <c r="F36" s="79">
        <f t="shared" si="9"/>
        <v>14960.655737704918</v>
      </c>
      <c r="G36" s="79">
        <f t="shared" si="10"/>
        <v>600</v>
      </c>
      <c r="H36" s="16">
        <f>Table22[[#This Row],[unit interest]]*$B$10</f>
        <v>88.524590163934434</v>
      </c>
      <c r="I36" s="16">
        <f>Table22[[#This Row],[monthly installment]]-Table22[[#This Row],[interest]]</f>
        <v>511.47540983606558</v>
      </c>
      <c r="J36" s="52">
        <f>Table22[[#This Row],[opening balance]]-Table22[[#This Row],[principal repaid]]</f>
        <v>14449.180327868851</v>
      </c>
      <c r="L36">
        <f t="shared" si="6"/>
        <v>21</v>
      </c>
      <c r="M36" s="79">
        <f t="shared" si="4"/>
        <v>20657.692498200326</v>
      </c>
      <c r="N36" s="1">
        <f t="shared" si="5"/>
        <v>552.49566165799058</v>
      </c>
      <c r="O36" s="16">
        <f>Table25[[#This Row],[opening balance]]*(4%/12)</f>
        <v>68.858974994001088</v>
      </c>
      <c r="P36" s="16">
        <f>Table25[[#This Row],[monthly installment]]-Table25[[#This Row],[interest]]</f>
        <v>483.63668666398951</v>
      </c>
      <c r="Q36" s="52">
        <f>Table25[[#This Row],[opening balance]]-Table25[[#This Row],[principal repaid]]</f>
        <v>20174.055811536335</v>
      </c>
    </row>
    <row r="37" spans="4:17">
      <c r="D37">
        <f t="shared" si="2"/>
        <v>35</v>
      </c>
      <c r="E37">
        <f t="shared" si="3"/>
        <v>26</v>
      </c>
      <c r="F37" s="79">
        <f t="shared" si="9"/>
        <v>14449.180327868851</v>
      </c>
      <c r="G37" s="79">
        <f t="shared" si="10"/>
        <v>600</v>
      </c>
      <c r="H37" s="16">
        <f>Table22[[#This Row],[unit interest]]*$B$10</f>
        <v>85.245901639344268</v>
      </c>
      <c r="I37" s="16">
        <f>Table22[[#This Row],[monthly installment]]-Table22[[#This Row],[interest]]</f>
        <v>514.75409836065569</v>
      </c>
      <c r="J37" s="52">
        <f>Table22[[#This Row],[opening balance]]-Table22[[#This Row],[principal repaid]]</f>
        <v>13934.426229508195</v>
      </c>
      <c r="L37">
        <f t="shared" si="6"/>
        <v>22</v>
      </c>
      <c r="M37" s="79">
        <f t="shared" si="4"/>
        <v>20174.055811536335</v>
      </c>
      <c r="N37" s="1">
        <f t="shared" si="5"/>
        <v>552.49566165799058</v>
      </c>
      <c r="O37" s="16">
        <f>Table25[[#This Row],[opening balance]]*(4%/12)</f>
        <v>67.246852705121114</v>
      </c>
      <c r="P37" s="16">
        <f>Table25[[#This Row],[monthly installment]]-Table25[[#This Row],[interest]]</f>
        <v>485.24880895286947</v>
      </c>
      <c r="Q37" s="52">
        <f>Table25[[#This Row],[opening balance]]-Table25[[#This Row],[principal repaid]]</f>
        <v>19688.807002583464</v>
      </c>
    </row>
    <row r="38" spans="4:17">
      <c r="D38">
        <f t="shared" si="2"/>
        <v>36</v>
      </c>
      <c r="E38">
        <f t="shared" si="3"/>
        <v>25</v>
      </c>
      <c r="F38" s="79">
        <f t="shared" si="9"/>
        <v>13934.426229508195</v>
      </c>
      <c r="G38" s="79">
        <f t="shared" si="10"/>
        <v>600</v>
      </c>
      <c r="H38" s="16">
        <f>Table22[[#This Row],[unit interest]]*$B$10</f>
        <v>81.967213114754102</v>
      </c>
      <c r="I38" s="16">
        <f>Table22[[#This Row],[monthly installment]]-Table22[[#This Row],[interest]]</f>
        <v>518.03278688524586</v>
      </c>
      <c r="J38" s="52">
        <f>Table22[[#This Row],[opening balance]]-Table22[[#This Row],[principal repaid]]</f>
        <v>13416.39344262295</v>
      </c>
      <c r="L38">
        <f t="shared" si="6"/>
        <v>23</v>
      </c>
      <c r="M38" s="79">
        <f t="shared" si="4"/>
        <v>19688.807002583464</v>
      </c>
      <c r="N38" s="1">
        <f t="shared" si="5"/>
        <v>552.49566165799058</v>
      </c>
      <c r="O38" s="16">
        <f>Table25[[#This Row],[opening balance]]*(4%/12)</f>
        <v>65.629356675278217</v>
      </c>
      <c r="P38" s="16">
        <f>Table25[[#This Row],[monthly installment]]-Table25[[#This Row],[interest]]</f>
        <v>486.86630498271234</v>
      </c>
      <c r="Q38" s="52">
        <f>Table25[[#This Row],[opening balance]]-Table25[[#This Row],[principal repaid]]</f>
        <v>19201.940697600752</v>
      </c>
    </row>
    <row r="39" spans="4:17">
      <c r="D39">
        <f t="shared" si="2"/>
        <v>37</v>
      </c>
      <c r="E39">
        <f t="shared" si="3"/>
        <v>24</v>
      </c>
      <c r="F39" s="79">
        <f t="shared" si="9"/>
        <v>13416.39344262295</v>
      </c>
      <c r="G39" s="79">
        <f t="shared" si="10"/>
        <v>600</v>
      </c>
      <c r="H39" s="16">
        <f>Table22[[#This Row],[unit interest]]*$B$10</f>
        <v>78.688524590163937</v>
      </c>
      <c r="I39" s="16">
        <f>Table22[[#This Row],[monthly installment]]-Table22[[#This Row],[interest]]</f>
        <v>521.31147540983602</v>
      </c>
      <c r="J39" s="52">
        <f>Table22[[#This Row],[opening balance]]-Table22[[#This Row],[principal repaid]]</f>
        <v>12895.081967213115</v>
      </c>
      <c r="L39">
        <f t="shared" si="6"/>
        <v>24</v>
      </c>
      <c r="M39" s="79">
        <f t="shared" si="4"/>
        <v>19201.940697600752</v>
      </c>
      <c r="N39" s="1">
        <f t="shared" si="5"/>
        <v>552.49566165799058</v>
      </c>
      <c r="O39" s="16">
        <f>Table25[[#This Row],[opening balance]]*(4%/12)</f>
        <v>64.00646899200251</v>
      </c>
      <c r="P39" s="16">
        <f>Table25[[#This Row],[monthly installment]]-Table25[[#This Row],[interest]]</f>
        <v>488.48919266598807</v>
      </c>
      <c r="Q39" s="52">
        <f>Table25[[#This Row],[opening balance]]-Table25[[#This Row],[principal repaid]]</f>
        <v>18713.451504934765</v>
      </c>
    </row>
    <row r="40" spans="4:17">
      <c r="D40">
        <f t="shared" si="2"/>
        <v>38</v>
      </c>
      <c r="E40">
        <f t="shared" si="3"/>
        <v>23</v>
      </c>
      <c r="F40" s="79">
        <f t="shared" si="9"/>
        <v>12895.081967213115</v>
      </c>
      <c r="G40" s="79">
        <f t="shared" si="10"/>
        <v>600</v>
      </c>
      <c r="H40" s="16">
        <f>Table22[[#This Row],[unit interest]]*$B$10</f>
        <v>75.409836065573771</v>
      </c>
      <c r="I40" s="16">
        <f>Table22[[#This Row],[monthly installment]]-Table22[[#This Row],[interest]]</f>
        <v>524.59016393442619</v>
      </c>
      <c r="J40" s="52">
        <f>Table22[[#This Row],[opening balance]]-Table22[[#This Row],[principal repaid]]</f>
        <v>12370.491803278688</v>
      </c>
      <c r="L40">
        <f t="shared" si="6"/>
        <v>25</v>
      </c>
      <c r="M40" s="79">
        <f t="shared" si="4"/>
        <v>18713.451504934765</v>
      </c>
      <c r="N40" s="1">
        <f t="shared" si="5"/>
        <v>552.49566165799058</v>
      </c>
      <c r="O40" s="16">
        <f>Table25[[#This Row],[opening balance]]*(4%/12)</f>
        <v>62.378171683115887</v>
      </c>
      <c r="P40" s="16">
        <f>Table25[[#This Row],[monthly installment]]-Table25[[#This Row],[interest]]</f>
        <v>490.11748997487467</v>
      </c>
      <c r="Q40" s="52">
        <f>Table25[[#This Row],[opening balance]]-Table25[[#This Row],[principal repaid]]</f>
        <v>18223.334014959892</v>
      </c>
    </row>
    <row r="41" spans="4:17">
      <c r="D41">
        <f t="shared" si="2"/>
        <v>39</v>
      </c>
      <c r="E41">
        <f t="shared" si="3"/>
        <v>22</v>
      </c>
      <c r="F41" s="79">
        <f t="shared" si="9"/>
        <v>12370.491803278688</v>
      </c>
      <c r="G41" s="79">
        <f t="shared" si="10"/>
        <v>600</v>
      </c>
      <c r="H41" s="16">
        <f>Table22[[#This Row],[unit interest]]*$B$10</f>
        <v>72.131147540983605</v>
      </c>
      <c r="I41" s="16">
        <f>Table22[[#This Row],[monthly installment]]-Table22[[#This Row],[interest]]</f>
        <v>527.86885245901635</v>
      </c>
      <c r="J41" s="52">
        <f>Table22[[#This Row],[opening balance]]-Table22[[#This Row],[principal repaid]]</f>
        <v>11842.622950819672</v>
      </c>
      <c r="L41">
        <f t="shared" si="6"/>
        <v>26</v>
      </c>
      <c r="M41" s="79">
        <f t="shared" si="4"/>
        <v>18223.334014959892</v>
      </c>
      <c r="N41" s="1">
        <f t="shared" si="5"/>
        <v>552.49566165799058</v>
      </c>
      <c r="O41" s="16">
        <f>Table25[[#This Row],[opening balance]]*(4%/12)</f>
        <v>60.744446716532977</v>
      </c>
      <c r="P41" s="16">
        <f>Table25[[#This Row],[monthly installment]]-Table25[[#This Row],[interest]]</f>
        <v>491.75121494145759</v>
      </c>
      <c r="Q41" s="52">
        <f>Table25[[#This Row],[opening balance]]-Table25[[#This Row],[principal repaid]]</f>
        <v>17731.582800018434</v>
      </c>
    </row>
    <row r="42" spans="4:17">
      <c r="D42">
        <f t="shared" si="2"/>
        <v>40</v>
      </c>
      <c r="E42">
        <f t="shared" si="3"/>
        <v>21</v>
      </c>
      <c r="F42" s="79">
        <f t="shared" si="9"/>
        <v>11842.622950819672</v>
      </c>
      <c r="G42" s="79">
        <f t="shared" si="10"/>
        <v>600</v>
      </c>
      <c r="H42" s="16">
        <f>Table22[[#This Row],[unit interest]]*$B$10</f>
        <v>68.852459016393439</v>
      </c>
      <c r="I42" s="16">
        <f>Table22[[#This Row],[monthly installment]]-Table22[[#This Row],[interest]]</f>
        <v>531.14754098360652</v>
      </c>
      <c r="J42" s="52">
        <f>Table22[[#This Row],[opening balance]]-Table22[[#This Row],[principal repaid]]</f>
        <v>11311.475409836066</v>
      </c>
      <c r="L42">
        <f t="shared" si="6"/>
        <v>27</v>
      </c>
      <c r="M42" s="79">
        <f t="shared" si="4"/>
        <v>17731.582800018434</v>
      </c>
      <c r="N42" s="1">
        <f t="shared" si="5"/>
        <v>552.49566165799058</v>
      </c>
      <c r="O42" s="16">
        <f>Table25[[#This Row],[opening balance]]*(4%/12)</f>
        <v>59.105276000061451</v>
      </c>
      <c r="P42" s="16">
        <f>Table25[[#This Row],[monthly installment]]-Table25[[#This Row],[interest]]</f>
        <v>493.39038565792913</v>
      </c>
      <c r="Q42" s="52">
        <f>Table25[[#This Row],[opening balance]]-Table25[[#This Row],[principal repaid]]</f>
        <v>17238.192414360503</v>
      </c>
    </row>
    <row r="43" spans="4:17">
      <c r="D43">
        <f t="shared" si="2"/>
        <v>41</v>
      </c>
      <c r="E43">
        <f t="shared" si="3"/>
        <v>20</v>
      </c>
      <c r="F43" s="79">
        <f t="shared" si="9"/>
        <v>11311.475409836066</v>
      </c>
      <c r="G43" s="79">
        <f t="shared" si="10"/>
        <v>600</v>
      </c>
      <c r="H43" s="16">
        <f>Table22[[#This Row],[unit interest]]*$B$10</f>
        <v>65.573770491803288</v>
      </c>
      <c r="I43" s="16">
        <f>Table22[[#This Row],[monthly installment]]-Table22[[#This Row],[interest]]</f>
        <v>534.42622950819668</v>
      </c>
      <c r="J43" s="52">
        <f>Table22[[#This Row],[opening balance]]-Table22[[#This Row],[principal repaid]]</f>
        <v>10777.049180327869</v>
      </c>
      <c r="L43">
        <f t="shared" si="6"/>
        <v>28</v>
      </c>
      <c r="M43" s="79">
        <f t="shared" si="4"/>
        <v>17238.192414360503</v>
      </c>
      <c r="N43" s="1">
        <f t="shared" si="5"/>
        <v>552.49566165799058</v>
      </c>
      <c r="O43" s="16">
        <f>Table25[[#This Row],[opening balance]]*(4%/12)</f>
        <v>57.460641381201683</v>
      </c>
      <c r="P43" s="16">
        <f>Table25[[#This Row],[monthly installment]]-Table25[[#This Row],[interest]]</f>
        <v>495.03502027678888</v>
      </c>
      <c r="Q43" s="52">
        <f>Table25[[#This Row],[opening balance]]-Table25[[#This Row],[principal repaid]]</f>
        <v>16743.157394083715</v>
      </c>
    </row>
    <row r="44" spans="4:17">
      <c r="D44">
        <f t="shared" si="2"/>
        <v>42</v>
      </c>
      <c r="E44">
        <f t="shared" si="3"/>
        <v>19</v>
      </c>
      <c r="F44" s="79">
        <f t="shared" si="9"/>
        <v>10777.049180327869</v>
      </c>
      <c r="G44" s="79">
        <f t="shared" si="10"/>
        <v>600</v>
      </c>
      <c r="H44" s="16">
        <f>Table22[[#This Row],[unit interest]]*$B$10</f>
        <v>62.295081967213115</v>
      </c>
      <c r="I44" s="16">
        <f>Table22[[#This Row],[monthly installment]]-Table22[[#This Row],[interest]]</f>
        <v>537.70491803278685</v>
      </c>
      <c r="J44" s="52">
        <f>Table22[[#This Row],[opening balance]]-Table22[[#This Row],[principal repaid]]</f>
        <v>10239.344262295082</v>
      </c>
      <c r="L44">
        <f t="shared" si="6"/>
        <v>29</v>
      </c>
      <c r="M44" s="79">
        <f t="shared" si="4"/>
        <v>16743.157394083715</v>
      </c>
      <c r="N44" s="1">
        <f t="shared" si="5"/>
        <v>552.49566165799058</v>
      </c>
      <c r="O44" s="16">
        <f>Table25[[#This Row],[opening balance]]*(4%/12)</f>
        <v>55.810524646945723</v>
      </c>
      <c r="P44" s="16">
        <f>Table25[[#This Row],[monthly installment]]-Table25[[#This Row],[interest]]</f>
        <v>496.68513701104484</v>
      </c>
      <c r="Q44" s="52">
        <f>Table25[[#This Row],[opening balance]]-Table25[[#This Row],[principal repaid]]</f>
        <v>16246.47225707267</v>
      </c>
    </row>
    <row r="45" spans="4:17">
      <c r="D45">
        <f t="shared" si="2"/>
        <v>43</v>
      </c>
      <c r="E45">
        <f t="shared" si="3"/>
        <v>18</v>
      </c>
      <c r="F45" s="79">
        <f t="shared" si="9"/>
        <v>10239.344262295082</v>
      </c>
      <c r="G45" s="79">
        <f t="shared" si="10"/>
        <v>600</v>
      </c>
      <c r="H45" s="16">
        <f>Table22[[#This Row],[unit interest]]*$B$10</f>
        <v>59.016393442622956</v>
      </c>
      <c r="I45" s="16">
        <f>Table22[[#This Row],[monthly installment]]-Table22[[#This Row],[interest]]</f>
        <v>540.98360655737702</v>
      </c>
      <c r="J45" s="52">
        <f>Table22[[#This Row],[opening balance]]-Table22[[#This Row],[principal repaid]]</f>
        <v>9698.3606557377061</v>
      </c>
      <c r="L45">
        <f t="shared" si="6"/>
        <v>30</v>
      </c>
      <c r="M45" s="79">
        <f t="shared" si="4"/>
        <v>16246.47225707267</v>
      </c>
      <c r="N45" s="1">
        <f t="shared" si="5"/>
        <v>552.49566165799058</v>
      </c>
      <c r="O45" s="16">
        <f>Table25[[#This Row],[opening balance]]*(4%/12)</f>
        <v>54.154907523575567</v>
      </c>
      <c r="P45" s="16">
        <f>Table25[[#This Row],[monthly installment]]-Table25[[#This Row],[interest]]</f>
        <v>498.34075413441502</v>
      </c>
      <c r="Q45" s="52">
        <f>Table25[[#This Row],[opening balance]]-Table25[[#This Row],[principal repaid]]</f>
        <v>15748.131502938255</v>
      </c>
    </row>
    <row r="46" spans="4:17">
      <c r="D46">
        <f t="shared" si="2"/>
        <v>44</v>
      </c>
      <c r="E46">
        <f t="shared" si="3"/>
        <v>17</v>
      </c>
      <c r="F46" s="79">
        <f t="shared" si="9"/>
        <v>9698.3606557377061</v>
      </c>
      <c r="G46" s="79">
        <f t="shared" si="10"/>
        <v>600</v>
      </c>
      <c r="H46" s="16">
        <f>Table22[[#This Row],[unit interest]]*$B$10</f>
        <v>55.73770491803279</v>
      </c>
      <c r="I46" s="16">
        <f>Table22[[#This Row],[monthly installment]]-Table22[[#This Row],[interest]]</f>
        <v>544.26229508196718</v>
      </c>
      <c r="J46" s="52">
        <f>Table22[[#This Row],[opening balance]]-Table22[[#This Row],[principal repaid]]</f>
        <v>9154.0983606557384</v>
      </c>
      <c r="L46">
        <f t="shared" si="6"/>
        <v>31</v>
      </c>
      <c r="M46" s="79">
        <f t="shared" si="4"/>
        <v>15748.131502938255</v>
      </c>
      <c r="N46" s="1">
        <f t="shared" si="5"/>
        <v>552.49566165799058</v>
      </c>
      <c r="O46" s="16">
        <f>Table25[[#This Row],[opening balance]]*(4%/12)</f>
        <v>52.493771676460852</v>
      </c>
      <c r="P46" s="16">
        <f>Table25[[#This Row],[monthly installment]]-Table25[[#This Row],[interest]]</f>
        <v>500.00188998152976</v>
      </c>
      <c r="Q46" s="52">
        <f>Table25[[#This Row],[opening balance]]-Table25[[#This Row],[principal repaid]]</f>
        <v>15248.129612956725</v>
      </c>
    </row>
    <row r="47" spans="4:17">
      <c r="D47">
        <f t="shared" si="2"/>
        <v>45</v>
      </c>
      <c r="E47">
        <f t="shared" si="3"/>
        <v>16</v>
      </c>
      <c r="F47" s="79">
        <f t="shared" si="9"/>
        <v>9154.0983606557384</v>
      </c>
      <c r="G47" s="79">
        <f t="shared" si="10"/>
        <v>600</v>
      </c>
      <c r="H47" s="16">
        <f>Table22[[#This Row],[unit interest]]*$B$10</f>
        <v>52.459016393442624</v>
      </c>
      <c r="I47" s="16">
        <f>Table22[[#This Row],[monthly installment]]-Table22[[#This Row],[interest]]</f>
        <v>547.54098360655735</v>
      </c>
      <c r="J47" s="52">
        <f>Table22[[#This Row],[opening balance]]-Table22[[#This Row],[principal repaid]]</f>
        <v>8606.557377049181</v>
      </c>
      <c r="L47">
        <f t="shared" si="6"/>
        <v>32</v>
      </c>
      <c r="M47" s="79">
        <f t="shared" ref="M47:M75" si="11">Q46</f>
        <v>15248.129612956725</v>
      </c>
      <c r="N47" s="1">
        <f t="shared" ref="N47:N75" si="12">$B$17</f>
        <v>552.49566165799058</v>
      </c>
      <c r="O47" s="16">
        <f>Table25[[#This Row],[opening balance]]*(4%/12)</f>
        <v>50.827098709855754</v>
      </c>
      <c r="P47" s="16">
        <f>Table25[[#This Row],[monthly installment]]-Table25[[#This Row],[interest]]</f>
        <v>501.66856294813482</v>
      </c>
      <c r="Q47" s="52">
        <f>Table25[[#This Row],[opening balance]]-Table25[[#This Row],[principal repaid]]</f>
        <v>14746.461050008591</v>
      </c>
    </row>
    <row r="48" spans="4:17">
      <c r="D48">
        <f t="shared" si="2"/>
        <v>46</v>
      </c>
      <c r="E48">
        <f t="shared" si="3"/>
        <v>15</v>
      </c>
      <c r="F48" s="79">
        <f t="shared" si="9"/>
        <v>8606.557377049181</v>
      </c>
      <c r="G48" s="79">
        <f t="shared" si="10"/>
        <v>600</v>
      </c>
      <c r="H48" s="16">
        <f>Table22[[#This Row],[unit interest]]*$B$10</f>
        <v>49.180327868852459</v>
      </c>
      <c r="I48" s="16">
        <f>Table22[[#This Row],[monthly installment]]-Table22[[#This Row],[interest]]</f>
        <v>550.81967213114751</v>
      </c>
      <c r="J48" s="52">
        <f>Table22[[#This Row],[opening balance]]-Table22[[#This Row],[principal repaid]]</f>
        <v>8055.7377049180332</v>
      </c>
      <c r="L48">
        <f t="shared" si="6"/>
        <v>33</v>
      </c>
      <c r="M48" s="79">
        <f t="shared" si="11"/>
        <v>14746.461050008591</v>
      </c>
      <c r="N48" s="1">
        <f t="shared" si="12"/>
        <v>552.49566165799058</v>
      </c>
      <c r="O48" s="16">
        <f>Table25[[#This Row],[opening balance]]*(4%/12)</f>
        <v>49.154870166695304</v>
      </c>
      <c r="P48" s="16">
        <f>Table25[[#This Row],[monthly installment]]-Table25[[#This Row],[interest]]</f>
        <v>503.34079149129525</v>
      </c>
      <c r="Q48" s="52">
        <f>Table25[[#This Row],[opening balance]]-Table25[[#This Row],[principal repaid]]</f>
        <v>14243.120258517296</v>
      </c>
    </row>
    <row r="49" spans="4:17">
      <c r="D49">
        <f t="shared" si="2"/>
        <v>47</v>
      </c>
      <c r="E49">
        <f t="shared" si="3"/>
        <v>14</v>
      </c>
      <c r="F49" s="79">
        <f t="shared" si="9"/>
        <v>8055.7377049180332</v>
      </c>
      <c r="G49" s="79">
        <f t="shared" si="10"/>
        <v>600</v>
      </c>
      <c r="H49" s="16">
        <f>Table22[[#This Row],[unit interest]]*$B$10</f>
        <v>45.901639344262293</v>
      </c>
      <c r="I49" s="16">
        <f>Table22[[#This Row],[monthly installment]]-Table22[[#This Row],[interest]]</f>
        <v>554.09836065573768</v>
      </c>
      <c r="J49" s="52">
        <f>Table22[[#This Row],[opening balance]]-Table22[[#This Row],[principal repaid]]</f>
        <v>7501.6393442622957</v>
      </c>
      <c r="L49">
        <f t="shared" si="6"/>
        <v>34</v>
      </c>
      <c r="M49" s="79">
        <f t="shared" si="11"/>
        <v>14243.120258517296</v>
      </c>
      <c r="N49" s="1">
        <f t="shared" si="12"/>
        <v>552.49566165799058</v>
      </c>
      <c r="O49" s="16">
        <f>Table25[[#This Row],[opening balance]]*(4%/12)</f>
        <v>47.47706752839099</v>
      </c>
      <c r="P49" s="16">
        <f>Table25[[#This Row],[monthly installment]]-Table25[[#This Row],[interest]]</f>
        <v>505.01859412959959</v>
      </c>
      <c r="Q49" s="52">
        <f>Table25[[#This Row],[opening balance]]-Table25[[#This Row],[principal repaid]]</f>
        <v>13738.101664387696</v>
      </c>
    </row>
    <row r="50" spans="4:17">
      <c r="D50">
        <f t="shared" si="2"/>
        <v>48</v>
      </c>
      <c r="E50">
        <f t="shared" si="3"/>
        <v>13</v>
      </c>
      <c r="F50" s="79">
        <f t="shared" ref="F50:F62" si="13">J49</f>
        <v>7501.6393442622957</v>
      </c>
      <c r="G50" s="79">
        <f t="shared" ref="G50:G62" si="14">$B$8</f>
        <v>600</v>
      </c>
      <c r="H50" s="16">
        <f>Table22[[#This Row],[unit interest]]*$B$10</f>
        <v>42.622950819672134</v>
      </c>
      <c r="I50" s="16">
        <f>Table22[[#This Row],[monthly installment]]-Table22[[#This Row],[interest]]</f>
        <v>557.37704918032784</v>
      </c>
      <c r="J50" s="52">
        <f>Table22[[#This Row],[opening balance]]-Table22[[#This Row],[principal repaid]]</f>
        <v>6944.2622950819677</v>
      </c>
      <c r="L50">
        <f t="shared" si="6"/>
        <v>35</v>
      </c>
      <c r="M50" s="79">
        <f t="shared" si="11"/>
        <v>13738.101664387696</v>
      </c>
      <c r="N50" s="1">
        <f t="shared" si="12"/>
        <v>552.49566165799058</v>
      </c>
      <c r="O50" s="16">
        <f>Table25[[#This Row],[opening balance]]*(4%/12)</f>
        <v>45.793672214625651</v>
      </c>
      <c r="P50" s="16">
        <f>Table25[[#This Row],[monthly installment]]-Table25[[#This Row],[interest]]</f>
        <v>506.70198944336494</v>
      </c>
      <c r="Q50" s="52">
        <f>Table25[[#This Row],[opening balance]]-Table25[[#This Row],[principal repaid]]</f>
        <v>13231.39967494433</v>
      </c>
    </row>
    <row r="51" spans="4:17">
      <c r="D51">
        <f t="shared" si="2"/>
        <v>49</v>
      </c>
      <c r="E51">
        <f t="shared" si="3"/>
        <v>12</v>
      </c>
      <c r="F51" s="79">
        <f t="shared" si="13"/>
        <v>6944.2622950819677</v>
      </c>
      <c r="G51" s="79">
        <f t="shared" si="14"/>
        <v>600</v>
      </c>
      <c r="H51" s="16">
        <f>Table22[[#This Row],[unit interest]]*$B$10</f>
        <v>39.344262295081968</v>
      </c>
      <c r="I51" s="16">
        <f>Table22[[#This Row],[monthly installment]]-Table22[[#This Row],[interest]]</f>
        <v>560.65573770491801</v>
      </c>
      <c r="J51" s="52">
        <f>Table22[[#This Row],[opening balance]]-Table22[[#This Row],[principal repaid]]</f>
        <v>6383.6065573770502</v>
      </c>
      <c r="L51">
        <f t="shared" si="6"/>
        <v>36</v>
      </c>
      <c r="M51" s="79">
        <f t="shared" si="11"/>
        <v>13231.39967494433</v>
      </c>
      <c r="N51" s="1">
        <f t="shared" si="12"/>
        <v>552.49566165799058</v>
      </c>
      <c r="O51" s="16">
        <f>Table25[[#This Row],[opening balance]]*(4%/12)</f>
        <v>44.104665583147771</v>
      </c>
      <c r="P51" s="16">
        <f>Table25[[#This Row],[monthly installment]]-Table25[[#This Row],[interest]]</f>
        <v>508.3909960748428</v>
      </c>
      <c r="Q51" s="52">
        <f>Table25[[#This Row],[opening balance]]-Table25[[#This Row],[principal repaid]]</f>
        <v>12723.008678869488</v>
      </c>
    </row>
    <row r="52" spans="4:17">
      <c r="D52">
        <f t="shared" si="2"/>
        <v>50</v>
      </c>
      <c r="E52">
        <f t="shared" si="3"/>
        <v>11</v>
      </c>
      <c r="F52" s="79">
        <f t="shared" si="13"/>
        <v>6383.6065573770502</v>
      </c>
      <c r="G52" s="79">
        <f t="shared" si="14"/>
        <v>600</v>
      </c>
      <c r="H52" s="16">
        <f>Table22[[#This Row],[unit interest]]*$B$10</f>
        <v>36.065573770491802</v>
      </c>
      <c r="I52" s="16">
        <f>Table22[[#This Row],[monthly installment]]-Table22[[#This Row],[interest]]</f>
        <v>563.93442622950818</v>
      </c>
      <c r="J52" s="52">
        <f>Table22[[#This Row],[opening balance]]-Table22[[#This Row],[principal repaid]]</f>
        <v>5819.6721311475421</v>
      </c>
      <c r="L52">
        <f t="shared" si="6"/>
        <v>37</v>
      </c>
      <c r="M52" s="79">
        <f t="shared" si="11"/>
        <v>12723.008678869488</v>
      </c>
      <c r="N52" s="1">
        <f t="shared" si="12"/>
        <v>552.49566165799058</v>
      </c>
      <c r="O52" s="16">
        <f>Table25[[#This Row],[opening balance]]*(4%/12)</f>
        <v>42.410028929564966</v>
      </c>
      <c r="P52" s="16">
        <f>Table25[[#This Row],[monthly installment]]-Table25[[#This Row],[interest]]</f>
        <v>510.08563272842559</v>
      </c>
      <c r="Q52" s="52">
        <f>Table25[[#This Row],[opening balance]]-Table25[[#This Row],[principal repaid]]</f>
        <v>12212.923046141063</v>
      </c>
    </row>
    <row r="53" spans="4:17">
      <c r="D53">
        <f t="shared" si="2"/>
        <v>51</v>
      </c>
      <c r="E53">
        <f t="shared" si="3"/>
        <v>10</v>
      </c>
      <c r="F53" s="79">
        <f t="shared" si="13"/>
        <v>5819.6721311475421</v>
      </c>
      <c r="G53" s="79">
        <f t="shared" si="14"/>
        <v>600</v>
      </c>
      <c r="H53" s="16">
        <f>Table22[[#This Row],[unit interest]]*$B$10</f>
        <v>32.786885245901644</v>
      </c>
      <c r="I53" s="16">
        <f>Table22[[#This Row],[monthly installment]]-Table22[[#This Row],[interest]]</f>
        <v>567.21311475409834</v>
      </c>
      <c r="J53" s="52">
        <f>Table22[[#This Row],[opening balance]]-Table22[[#This Row],[principal repaid]]</f>
        <v>5252.4590163934436</v>
      </c>
      <c r="L53">
        <f t="shared" si="6"/>
        <v>38</v>
      </c>
      <c r="M53" s="79">
        <f t="shared" si="11"/>
        <v>12212.923046141063</v>
      </c>
      <c r="N53" s="1">
        <f t="shared" si="12"/>
        <v>552.49566165799058</v>
      </c>
      <c r="O53" s="16">
        <f>Table25[[#This Row],[opening balance]]*(4%/12)</f>
        <v>40.709743487136876</v>
      </c>
      <c r="P53" s="16">
        <f>Table25[[#This Row],[monthly installment]]-Table25[[#This Row],[interest]]</f>
        <v>511.78591817085373</v>
      </c>
      <c r="Q53" s="52">
        <f>Table25[[#This Row],[opening balance]]-Table25[[#This Row],[principal repaid]]</f>
        <v>11701.137127970209</v>
      </c>
    </row>
    <row r="54" spans="4:17">
      <c r="D54">
        <f t="shared" si="2"/>
        <v>52</v>
      </c>
      <c r="E54">
        <f t="shared" si="3"/>
        <v>9</v>
      </c>
      <c r="F54" s="79">
        <f t="shared" si="13"/>
        <v>5252.4590163934436</v>
      </c>
      <c r="G54" s="79">
        <f t="shared" si="14"/>
        <v>600</v>
      </c>
      <c r="H54" s="16">
        <f>Table22[[#This Row],[unit interest]]*$B$10</f>
        <v>29.508196721311478</v>
      </c>
      <c r="I54" s="16">
        <f>Table22[[#This Row],[monthly installment]]-Table22[[#This Row],[interest]]</f>
        <v>570.49180327868851</v>
      </c>
      <c r="J54" s="52">
        <f>Table22[[#This Row],[opening balance]]-Table22[[#This Row],[principal repaid]]</f>
        <v>4681.9672131147554</v>
      </c>
      <c r="L54">
        <f t="shared" si="6"/>
        <v>39</v>
      </c>
      <c r="M54" s="79">
        <f t="shared" si="11"/>
        <v>11701.137127970209</v>
      </c>
      <c r="N54" s="1">
        <f t="shared" si="12"/>
        <v>552.49566165799058</v>
      </c>
      <c r="O54" s="16">
        <f>Table25[[#This Row],[opening balance]]*(4%/12)</f>
        <v>39.003790426567363</v>
      </c>
      <c r="P54" s="16">
        <f>Table25[[#This Row],[monthly installment]]-Table25[[#This Row],[interest]]</f>
        <v>513.49187123142326</v>
      </c>
      <c r="Q54" s="52">
        <f>Table25[[#This Row],[opening balance]]-Table25[[#This Row],[principal repaid]]</f>
        <v>11187.645256738786</v>
      </c>
    </row>
    <row r="55" spans="4:17">
      <c r="D55">
        <f t="shared" si="2"/>
        <v>53</v>
      </c>
      <c r="E55">
        <f t="shared" si="3"/>
        <v>8</v>
      </c>
      <c r="F55" s="79">
        <f t="shared" si="13"/>
        <v>4681.9672131147554</v>
      </c>
      <c r="G55" s="79">
        <f t="shared" si="14"/>
        <v>600</v>
      </c>
      <c r="H55" s="16">
        <f>Table22[[#This Row],[unit interest]]*$B$10</f>
        <v>26.229508196721312</v>
      </c>
      <c r="I55" s="16">
        <f>Table22[[#This Row],[monthly installment]]-Table22[[#This Row],[interest]]</f>
        <v>573.77049180327867</v>
      </c>
      <c r="J55" s="52">
        <f>Table22[[#This Row],[opening balance]]-Table22[[#This Row],[principal repaid]]</f>
        <v>4108.1967213114767</v>
      </c>
      <c r="L55">
        <f t="shared" si="6"/>
        <v>40</v>
      </c>
      <c r="M55" s="79">
        <f t="shared" si="11"/>
        <v>11187.645256738786</v>
      </c>
      <c r="N55" s="1">
        <f t="shared" si="12"/>
        <v>552.49566165799058</v>
      </c>
      <c r="O55" s="16">
        <f>Table25[[#This Row],[opening balance]]*(4%/12)</f>
        <v>37.292150855795953</v>
      </c>
      <c r="P55" s="16">
        <f>Table25[[#This Row],[monthly installment]]-Table25[[#This Row],[interest]]</f>
        <v>515.20351080219461</v>
      </c>
      <c r="Q55" s="52">
        <f>Table25[[#This Row],[opening balance]]-Table25[[#This Row],[principal repaid]]</f>
        <v>10672.44174593659</v>
      </c>
    </row>
    <row r="56" spans="4:17">
      <c r="D56">
        <f t="shared" si="2"/>
        <v>54</v>
      </c>
      <c r="E56">
        <f t="shared" si="3"/>
        <v>7</v>
      </c>
      <c r="F56" s="79">
        <f t="shared" si="13"/>
        <v>4108.1967213114767</v>
      </c>
      <c r="G56" s="79">
        <f t="shared" si="14"/>
        <v>600</v>
      </c>
      <c r="H56" s="16">
        <f>Table22[[#This Row],[unit interest]]*$B$10</f>
        <v>22.950819672131146</v>
      </c>
      <c r="I56" s="16">
        <f>Table22[[#This Row],[monthly installment]]-Table22[[#This Row],[interest]]</f>
        <v>577.04918032786884</v>
      </c>
      <c r="J56" s="52">
        <f>Table22[[#This Row],[opening balance]]-Table22[[#This Row],[principal repaid]]</f>
        <v>3531.147540983608</v>
      </c>
      <c r="L56">
        <f t="shared" si="6"/>
        <v>41</v>
      </c>
      <c r="M56" s="79">
        <f t="shared" si="11"/>
        <v>10672.44174593659</v>
      </c>
      <c r="N56" s="1">
        <f t="shared" si="12"/>
        <v>552.49566165799058</v>
      </c>
      <c r="O56" s="16">
        <f>Table25[[#This Row],[opening balance]]*(4%/12)</f>
        <v>35.574805819788637</v>
      </c>
      <c r="P56" s="16">
        <f>Table25[[#This Row],[monthly installment]]-Table25[[#This Row],[interest]]</f>
        <v>516.92085583820199</v>
      </c>
      <c r="Q56" s="52">
        <f>Table25[[#This Row],[opening balance]]-Table25[[#This Row],[principal repaid]]</f>
        <v>10155.520890098389</v>
      </c>
    </row>
    <row r="57" spans="4:17">
      <c r="D57">
        <f t="shared" si="2"/>
        <v>55</v>
      </c>
      <c r="E57">
        <f t="shared" si="3"/>
        <v>6</v>
      </c>
      <c r="F57" s="79">
        <f t="shared" si="13"/>
        <v>3531.147540983608</v>
      </c>
      <c r="G57" s="79">
        <f t="shared" si="14"/>
        <v>600</v>
      </c>
      <c r="H57" s="16">
        <f>Table22[[#This Row],[unit interest]]*$B$10</f>
        <v>19.672131147540984</v>
      </c>
      <c r="I57" s="16">
        <f>Table22[[#This Row],[monthly installment]]-Table22[[#This Row],[interest]]</f>
        <v>580.32786885245901</v>
      </c>
      <c r="J57" s="52">
        <f>Table22[[#This Row],[opening balance]]-Table22[[#This Row],[principal repaid]]</f>
        <v>2950.8196721311488</v>
      </c>
      <c r="L57">
        <f t="shared" si="6"/>
        <v>42</v>
      </c>
      <c r="M57" s="79">
        <f t="shared" si="11"/>
        <v>10155.520890098389</v>
      </c>
      <c r="N57" s="1">
        <f t="shared" si="12"/>
        <v>552.49566165799058</v>
      </c>
      <c r="O57" s="16">
        <f>Table25[[#This Row],[opening balance]]*(4%/12)</f>
        <v>33.851736300327964</v>
      </c>
      <c r="P57" s="16">
        <f>Table25[[#This Row],[monthly installment]]-Table25[[#This Row],[interest]]</f>
        <v>518.64392535766262</v>
      </c>
      <c r="Q57" s="52">
        <f>Table25[[#This Row],[opening balance]]-Table25[[#This Row],[principal repaid]]</f>
        <v>9636.8769647407262</v>
      </c>
    </row>
    <row r="58" spans="4:17">
      <c r="D58">
        <f t="shared" si="2"/>
        <v>56</v>
      </c>
      <c r="E58">
        <f t="shared" si="3"/>
        <v>5</v>
      </c>
      <c r="F58" s="79">
        <f t="shared" si="13"/>
        <v>2950.8196721311488</v>
      </c>
      <c r="G58" s="79">
        <f t="shared" si="14"/>
        <v>600</v>
      </c>
      <c r="H58" s="16">
        <f>Table22[[#This Row],[unit interest]]*$B$10</f>
        <v>16.393442622950822</v>
      </c>
      <c r="I58" s="16">
        <f>Table22[[#This Row],[monthly installment]]-Table22[[#This Row],[interest]]</f>
        <v>583.60655737704917</v>
      </c>
      <c r="J58" s="52">
        <f>Table22[[#This Row],[opening balance]]-Table22[[#This Row],[principal repaid]]</f>
        <v>2367.2131147540995</v>
      </c>
      <c r="L58">
        <f t="shared" si="6"/>
        <v>43</v>
      </c>
      <c r="M58" s="79">
        <f t="shared" si="11"/>
        <v>9636.8769647407262</v>
      </c>
      <c r="N58" s="1">
        <f t="shared" si="12"/>
        <v>552.49566165799058</v>
      </c>
      <c r="O58" s="16">
        <f>Table25[[#This Row],[opening balance]]*(4%/12)</f>
        <v>32.122923215802423</v>
      </c>
      <c r="P58" s="16">
        <f>Table25[[#This Row],[monthly installment]]-Table25[[#This Row],[interest]]</f>
        <v>520.37273844218817</v>
      </c>
      <c r="Q58" s="52">
        <f>Table25[[#This Row],[opening balance]]-Table25[[#This Row],[principal repaid]]</f>
        <v>9116.5042262985371</v>
      </c>
    </row>
    <row r="59" spans="4:17">
      <c r="D59">
        <f t="shared" si="2"/>
        <v>57</v>
      </c>
      <c r="E59">
        <f t="shared" si="3"/>
        <v>4</v>
      </c>
      <c r="F59" s="79">
        <f t="shared" si="13"/>
        <v>2367.2131147540995</v>
      </c>
      <c r="G59" s="79">
        <f t="shared" si="14"/>
        <v>600</v>
      </c>
      <c r="H59" s="16">
        <f>Table22[[#This Row],[unit interest]]*$B$10</f>
        <v>13.114754098360656</v>
      </c>
      <c r="I59" s="16">
        <f>Table22[[#This Row],[monthly installment]]-Table22[[#This Row],[interest]]</f>
        <v>586.88524590163934</v>
      </c>
      <c r="J59" s="52">
        <f>Table22[[#This Row],[opening balance]]-Table22[[#This Row],[principal repaid]]</f>
        <v>1780.3278688524601</v>
      </c>
      <c r="L59">
        <f t="shared" si="6"/>
        <v>44</v>
      </c>
      <c r="M59" s="79">
        <f t="shared" si="11"/>
        <v>9116.5042262985371</v>
      </c>
      <c r="N59" s="1">
        <f t="shared" si="12"/>
        <v>552.49566165799058</v>
      </c>
      <c r="O59" s="16">
        <f>Table25[[#This Row],[opening balance]]*(4%/12)</f>
        <v>30.388347420995125</v>
      </c>
      <c r="P59" s="16">
        <f>Table25[[#This Row],[monthly installment]]-Table25[[#This Row],[interest]]</f>
        <v>522.10731423699542</v>
      </c>
      <c r="Q59" s="52">
        <f>Table25[[#This Row],[opening balance]]-Table25[[#This Row],[principal repaid]]</f>
        <v>8594.396912061542</v>
      </c>
    </row>
    <row r="60" spans="4:17">
      <c r="D60">
        <f t="shared" si="2"/>
        <v>58</v>
      </c>
      <c r="E60">
        <f t="shared" si="3"/>
        <v>3</v>
      </c>
      <c r="F60" s="79">
        <f t="shared" si="13"/>
        <v>1780.3278688524601</v>
      </c>
      <c r="G60" s="79">
        <f t="shared" si="14"/>
        <v>600</v>
      </c>
      <c r="H60" s="16">
        <f>Table22[[#This Row],[unit interest]]*$B$10</f>
        <v>9.8360655737704921</v>
      </c>
      <c r="I60" s="16">
        <f>Table22[[#This Row],[monthly installment]]-Table22[[#This Row],[interest]]</f>
        <v>590.1639344262295</v>
      </c>
      <c r="J60" s="52">
        <f>Table22[[#This Row],[opening balance]]-Table22[[#This Row],[principal repaid]]</f>
        <v>1190.1639344262308</v>
      </c>
      <c r="L60">
        <f t="shared" si="6"/>
        <v>45</v>
      </c>
      <c r="M60" s="79">
        <f t="shared" si="11"/>
        <v>8594.396912061542</v>
      </c>
      <c r="N60" s="1">
        <f t="shared" si="12"/>
        <v>552.49566165799058</v>
      </c>
      <c r="O60" s="16">
        <f>Table25[[#This Row],[opening balance]]*(4%/12)</f>
        <v>28.647989706871808</v>
      </c>
      <c r="P60" s="16">
        <f>Table25[[#This Row],[monthly installment]]-Table25[[#This Row],[interest]]</f>
        <v>523.84767195111874</v>
      </c>
      <c r="Q60" s="52">
        <f>Table25[[#This Row],[opening balance]]-Table25[[#This Row],[principal repaid]]</f>
        <v>8070.5492401104229</v>
      </c>
    </row>
    <row r="61" spans="4:17">
      <c r="D61">
        <f t="shared" si="2"/>
        <v>59</v>
      </c>
      <c r="E61">
        <f t="shared" si="3"/>
        <v>2</v>
      </c>
      <c r="F61" s="79">
        <f t="shared" si="13"/>
        <v>1190.1639344262308</v>
      </c>
      <c r="G61" s="79">
        <f t="shared" si="14"/>
        <v>600</v>
      </c>
      <c r="H61" s="16">
        <f>Table22[[#This Row],[unit interest]]*$B$10</f>
        <v>6.557377049180328</v>
      </c>
      <c r="I61" s="16">
        <f>Table22[[#This Row],[monthly installment]]-Table22[[#This Row],[interest]]</f>
        <v>593.44262295081967</v>
      </c>
      <c r="J61" s="52">
        <f>Table22[[#This Row],[opening balance]]-Table22[[#This Row],[principal repaid]]</f>
        <v>596.72131147541108</v>
      </c>
      <c r="L61">
        <f t="shared" si="6"/>
        <v>46</v>
      </c>
      <c r="M61" s="79">
        <f t="shared" si="11"/>
        <v>8070.5492401104229</v>
      </c>
      <c r="N61" s="1">
        <f t="shared" si="12"/>
        <v>552.49566165799058</v>
      </c>
      <c r="O61" s="16">
        <f>Table25[[#This Row],[opening balance]]*(4%/12)</f>
        <v>26.901830800368078</v>
      </c>
      <c r="P61" s="16">
        <f>Table25[[#This Row],[monthly installment]]-Table25[[#This Row],[interest]]</f>
        <v>525.59383085762249</v>
      </c>
      <c r="Q61" s="52">
        <f>Table25[[#This Row],[opening balance]]-Table25[[#This Row],[principal repaid]]</f>
        <v>7544.9554092528006</v>
      </c>
    </row>
    <row r="62" spans="4:17">
      <c r="D62">
        <f t="shared" si="2"/>
        <v>60</v>
      </c>
      <c r="E62">
        <f t="shared" si="3"/>
        <v>1</v>
      </c>
      <c r="F62" s="79">
        <f t="shared" si="13"/>
        <v>596.72131147541108</v>
      </c>
      <c r="G62" s="79">
        <f t="shared" si="14"/>
        <v>600</v>
      </c>
      <c r="H62" s="16">
        <f>Table22[[#This Row],[unit interest]]*$B$10</f>
        <v>3.278688524590164</v>
      </c>
      <c r="I62" s="16">
        <f>Table22[[#This Row],[monthly installment]]-Table22[[#This Row],[interest]]</f>
        <v>596.72131147540983</v>
      </c>
      <c r="J62" s="52">
        <f>Table22[[#This Row],[opening balance]]-Table22[[#This Row],[principal repaid]]</f>
        <v>1.2505552149377763E-12</v>
      </c>
      <c r="L62">
        <f t="shared" si="6"/>
        <v>47</v>
      </c>
      <c r="M62" s="79">
        <f t="shared" si="11"/>
        <v>7544.9554092528006</v>
      </c>
      <c r="N62" s="1">
        <f t="shared" si="12"/>
        <v>552.49566165799058</v>
      </c>
      <c r="O62" s="16">
        <f>Table25[[#This Row],[opening balance]]*(4%/12)</f>
        <v>25.149851364176005</v>
      </c>
      <c r="P62" s="16">
        <f>Table25[[#This Row],[monthly installment]]-Table25[[#This Row],[interest]]</f>
        <v>527.34581029381457</v>
      </c>
      <c r="Q62" s="52">
        <f>Table25[[#This Row],[opening balance]]-Table25[[#This Row],[principal repaid]]</f>
        <v>7017.6095989589858</v>
      </c>
    </row>
    <row r="63" spans="4:17">
      <c r="L63">
        <f t="shared" si="6"/>
        <v>48</v>
      </c>
      <c r="M63" s="79">
        <f t="shared" si="11"/>
        <v>7017.6095989589858</v>
      </c>
      <c r="N63" s="1">
        <f t="shared" si="12"/>
        <v>552.49566165799058</v>
      </c>
      <c r="O63" s="16">
        <f>Table25[[#This Row],[opening balance]]*(4%/12)</f>
        <v>23.392031996529955</v>
      </c>
      <c r="P63" s="16">
        <f>Table25[[#This Row],[monthly installment]]-Table25[[#This Row],[interest]]</f>
        <v>529.10362966146067</v>
      </c>
      <c r="Q63" s="52">
        <f>Table25[[#This Row],[opening balance]]-Table25[[#This Row],[principal repaid]]</f>
        <v>6488.5059692975246</v>
      </c>
    </row>
    <row r="64" spans="4:17">
      <c r="L64">
        <f t="shared" si="6"/>
        <v>49</v>
      </c>
      <c r="M64" s="79">
        <f t="shared" si="11"/>
        <v>6488.5059692975246</v>
      </c>
      <c r="N64" s="1">
        <f t="shared" si="12"/>
        <v>552.49566165799058</v>
      </c>
      <c r="O64" s="16">
        <f>Table25[[#This Row],[opening balance]]*(4%/12)</f>
        <v>21.628353230991749</v>
      </c>
      <c r="P64" s="16">
        <f>Table25[[#This Row],[monthly installment]]-Table25[[#This Row],[interest]]</f>
        <v>530.86730842699887</v>
      </c>
      <c r="Q64" s="52">
        <f>Table25[[#This Row],[opening balance]]-Table25[[#This Row],[principal repaid]]</f>
        <v>5957.6386608705261</v>
      </c>
    </row>
    <row r="65" spans="12:17">
      <c r="L65">
        <f t="shared" si="6"/>
        <v>50</v>
      </c>
      <c r="M65" s="79">
        <f t="shared" si="11"/>
        <v>5957.6386608705261</v>
      </c>
      <c r="N65" s="1">
        <f t="shared" si="12"/>
        <v>552.49566165799058</v>
      </c>
      <c r="O65" s="16">
        <f>Table25[[#This Row],[opening balance]]*(4%/12)</f>
        <v>19.858795536235089</v>
      </c>
      <c r="P65" s="16">
        <f>Table25[[#This Row],[monthly installment]]-Table25[[#This Row],[interest]]</f>
        <v>532.63686612175547</v>
      </c>
      <c r="Q65" s="52">
        <f>Table25[[#This Row],[opening balance]]-Table25[[#This Row],[principal repaid]]</f>
        <v>5425.0017947487704</v>
      </c>
    </row>
    <row r="66" spans="12:17">
      <c r="L66">
        <f t="shared" si="6"/>
        <v>51</v>
      </c>
      <c r="M66" s="79">
        <f t="shared" si="11"/>
        <v>5425.0017947487704</v>
      </c>
      <c r="N66" s="1">
        <f t="shared" si="12"/>
        <v>552.49566165799058</v>
      </c>
      <c r="O66" s="16">
        <f>Table25[[#This Row],[opening balance]]*(4%/12)</f>
        <v>18.083339315829235</v>
      </c>
      <c r="P66" s="16">
        <f>Table25[[#This Row],[monthly installment]]-Table25[[#This Row],[interest]]</f>
        <v>534.41232234216136</v>
      </c>
      <c r="Q66" s="52">
        <f>Table25[[#This Row],[opening balance]]-Table25[[#This Row],[principal repaid]]</f>
        <v>4890.5894724066093</v>
      </c>
    </row>
    <row r="67" spans="12:17">
      <c r="L67">
        <f t="shared" si="6"/>
        <v>52</v>
      </c>
      <c r="M67" s="79">
        <f t="shared" si="11"/>
        <v>4890.5894724066093</v>
      </c>
      <c r="N67" s="1">
        <f t="shared" si="12"/>
        <v>552.49566165799058</v>
      </c>
      <c r="O67" s="16">
        <f>Table25[[#This Row],[opening balance]]*(4%/12)</f>
        <v>16.301964908022033</v>
      </c>
      <c r="P67" s="16">
        <f>Table25[[#This Row],[monthly installment]]-Table25[[#This Row],[interest]]</f>
        <v>536.19369674996858</v>
      </c>
      <c r="Q67" s="52">
        <f>Table25[[#This Row],[opening balance]]-Table25[[#This Row],[principal repaid]]</f>
        <v>4354.3957756566406</v>
      </c>
    </row>
    <row r="68" spans="12:17">
      <c r="L68">
        <f t="shared" si="6"/>
        <v>53</v>
      </c>
      <c r="M68" s="79">
        <f t="shared" si="11"/>
        <v>4354.3957756566406</v>
      </c>
      <c r="N68" s="1">
        <f t="shared" si="12"/>
        <v>552.49566165799058</v>
      </c>
      <c r="O68" s="16">
        <f>Table25[[#This Row],[opening balance]]*(4%/12)</f>
        <v>14.514652585522136</v>
      </c>
      <c r="P68" s="16">
        <f>Table25[[#This Row],[monthly installment]]-Table25[[#This Row],[interest]]</f>
        <v>537.9810090724684</v>
      </c>
      <c r="Q68" s="52">
        <f>Table25[[#This Row],[opening balance]]-Table25[[#This Row],[principal repaid]]</f>
        <v>3816.414766584172</v>
      </c>
    </row>
    <row r="69" spans="12:17">
      <c r="L69">
        <f t="shared" si="6"/>
        <v>54</v>
      </c>
      <c r="M69" s="79">
        <f t="shared" si="11"/>
        <v>3816.414766584172</v>
      </c>
      <c r="N69" s="1">
        <f t="shared" si="12"/>
        <v>552.49566165799058</v>
      </c>
      <c r="O69" s="16">
        <f>Table25[[#This Row],[opening balance]]*(4%/12)</f>
        <v>12.721382555280574</v>
      </c>
      <c r="P69" s="16">
        <f>Table25[[#This Row],[monthly installment]]-Table25[[#This Row],[interest]]</f>
        <v>539.77427910271001</v>
      </c>
      <c r="Q69" s="52">
        <f>Table25[[#This Row],[opening balance]]-Table25[[#This Row],[principal repaid]]</f>
        <v>3276.6404874814621</v>
      </c>
    </row>
    <row r="70" spans="12:17">
      <c r="L70">
        <f t="shared" si="6"/>
        <v>55</v>
      </c>
      <c r="M70" s="79">
        <f t="shared" si="11"/>
        <v>3276.6404874814621</v>
      </c>
      <c r="N70" s="1">
        <f t="shared" si="12"/>
        <v>552.49566165799058</v>
      </c>
      <c r="O70" s="16">
        <f>Table25[[#This Row],[opening balance]]*(4%/12)</f>
        <v>10.92213495827154</v>
      </c>
      <c r="P70" s="16">
        <f>Table25[[#This Row],[monthly installment]]-Table25[[#This Row],[interest]]</f>
        <v>541.57352669971908</v>
      </c>
      <c r="Q70" s="52">
        <f>Table25[[#This Row],[opening balance]]-Table25[[#This Row],[principal repaid]]</f>
        <v>2735.0669607817431</v>
      </c>
    </row>
    <row r="71" spans="12:17">
      <c r="L71">
        <f>L70+1</f>
        <v>56</v>
      </c>
      <c r="M71" s="79">
        <f t="shared" si="11"/>
        <v>2735.0669607817431</v>
      </c>
      <c r="N71" s="1">
        <f t="shared" si="12"/>
        <v>552.49566165799058</v>
      </c>
      <c r="O71" s="16">
        <f>Table25[[#This Row],[opening balance]]*(4%/12)</f>
        <v>9.1168898692724767</v>
      </c>
      <c r="P71" s="16">
        <f>Table25[[#This Row],[monthly installment]]-Table25[[#This Row],[interest]]</f>
        <v>543.37877178871815</v>
      </c>
      <c r="Q71" s="52">
        <f>Table25[[#This Row],[opening balance]]-Table25[[#This Row],[principal repaid]]</f>
        <v>2191.6881889930251</v>
      </c>
    </row>
    <row r="72" spans="12:17">
      <c r="L72">
        <f t="shared" si="6"/>
        <v>57</v>
      </c>
      <c r="M72" s="79">
        <f t="shared" si="11"/>
        <v>2191.6881889930251</v>
      </c>
      <c r="N72" s="1">
        <f t="shared" si="12"/>
        <v>552.49566165799058</v>
      </c>
      <c r="O72" s="16">
        <f>Table25[[#This Row],[opening balance]]*(4%/12)</f>
        <v>7.3056272966434177</v>
      </c>
      <c r="P72" s="16">
        <f>Table25[[#This Row],[monthly installment]]-Table25[[#This Row],[interest]]</f>
        <v>545.19003436134722</v>
      </c>
      <c r="Q72" s="52">
        <f>Table25[[#This Row],[opening balance]]-Table25[[#This Row],[principal repaid]]</f>
        <v>1646.4981546316778</v>
      </c>
    </row>
    <row r="73" spans="12:17">
      <c r="L73">
        <f t="shared" si="6"/>
        <v>58</v>
      </c>
      <c r="M73" s="79">
        <f t="shared" si="11"/>
        <v>1646.4981546316778</v>
      </c>
      <c r="N73" s="1">
        <f t="shared" si="12"/>
        <v>552.49566165799058</v>
      </c>
      <c r="O73" s="16">
        <f>Table25[[#This Row],[opening balance]]*(4%/12)</f>
        <v>5.4883271821055928</v>
      </c>
      <c r="P73" s="16">
        <f>Table25[[#This Row],[monthly installment]]-Table25[[#This Row],[interest]]</f>
        <v>547.00733447588505</v>
      </c>
      <c r="Q73" s="52">
        <f>Table25[[#This Row],[opening balance]]-Table25[[#This Row],[principal repaid]]</f>
        <v>1099.4908201557928</v>
      </c>
    </row>
    <row r="74" spans="12:17">
      <c r="L74">
        <f>L73+1</f>
        <v>59</v>
      </c>
      <c r="M74" s="79">
        <f t="shared" si="11"/>
        <v>1099.4908201557928</v>
      </c>
      <c r="N74" s="1">
        <f t="shared" si="12"/>
        <v>552.49566165799058</v>
      </c>
      <c r="O74" s="16">
        <f>Table25[[#This Row],[opening balance]]*(4%/12)</f>
        <v>3.6649694005193094</v>
      </c>
      <c r="P74" s="16">
        <f>Table25[[#This Row],[monthly installment]]-Table25[[#This Row],[interest]]</f>
        <v>548.83069225747124</v>
      </c>
      <c r="Q74" s="52">
        <f>Table25[[#This Row],[opening balance]]-Table25[[#This Row],[principal repaid]]</f>
        <v>550.66012789832155</v>
      </c>
    </row>
    <row r="75" spans="12:17">
      <c r="L75">
        <f t="shared" si="6"/>
        <v>60</v>
      </c>
      <c r="M75" s="79">
        <f t="shared" si="11"/>
        <v>550.66012789832155</v>
      </c>
      <c r="N75" s="1">
        <f t="shared" si="12"/>
        <v>552.49566165799058</v>
      </c>
      <c r="O75" s="16">
        <f>Table25[[#This Row],[opening balance]]*(4%/12)</f>
        <v>1.8355337596610719</v>
      </c>
      <c r="P75" s="16">
        <f>Table25[[#This Row],[monthly installment]]-Table25[[#This Row],[interest]]</f>
        <v>550.66012789832951</v>
      </c>
      <c r="Q75" s="52">
        <f>Table25[[#This Row],[opening balance]]-Table25[[#This Row],[principal repaid]]</f>
        <v>-7.9580786405131221E-12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</vt:lpstr>
      <vt:lpstr>Amortization Schedule</vt:lpstr>
      <vt:lpstr>Student_Amortization Schedule</vt:lpstr>
      <vt:lpstr>Sheet1</vt:lpstr>
      <vt:lpstr>Balance_Comparison</vt:lpstr>
      <vt:lpstr>Student_Balance_Comparison</vt:lpstr>
      <vt:lpstr>Variable_Rates</vt:lpstr>
      <vt:lpstr>Student_Variable_Rates</vt:lpstr>
      <vt:lpstr>Flat_Rate_Rule78</vt:lpstr>
      <vt:lpstr>Student_Flat_Rate_Rule78</vt:lpstr>
      <vt:lpstr>Practice_Problems_1</vt:lpstr>
      <vt:lpstr>Practice_Problems_2</vt:lpstr>
      <vt:lpstr>Practice_Problems_3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Hafizah Bahaludin</dc:creator>
  <cp:lastModifiedBy>USER</cp:lastModifiedBy>
  <dcterms:created xsi:type="dcterms:W3CDTF">2025-12-18T21:18:13Z</dcterms:created>
  <dcterms:modified xsi:type="dcterms:W3CDTF">2025-12-21T05:42:05Z</dcterms:modified>
</cp:coreProperties>
</file>